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ml.chartshape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ml.chartshape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8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9.xml" ContentType="application/vnd.openxmlformats-officedocument.drawingml.chartshape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0.xml" ContentType="application/vnd.openxmlformats-officedocument.drawingml.chartshape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1.xml" ContentType="application/vnd.openxmlformats-officedocument.drawingml.chartshape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2.xml" ContentType="application/vnd.openxmlformats-officedocument.drawingml.chartshapes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3.xml" ContentType="application/vnd.openxmlformats-officedocument.drawingml.chartshape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4.xml" ContentType="application/vnd.openxmlformats-officedocument.drawingml.chartshapes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racio.rieznik\Google Drive\PROYECTOS\WESTERN UNION\PROPUESTA 2018\ANTECEDENTES TEAM PERFORMANCE\"/>
    </mc:Choice>
  </mc:AlternateContent>
  <xr:revisionPtr revIDLastSave="0" documentId="13_ncr:1_{0D541F2C-5E0A-42D7-A0F7-9E77BDD507CB}" xr6:coauthVersionLast="31" xr6:coauthVersionMax="31" xr10:uidLastSave="{00000000-0000-0000-0000-000000000000}"/>
  <bookViews>
    <workbookView xWindow="0" yWindow="0" windowWidth="20490" windowHeight="6930" activeTab="2" xr2:uid="{C0EAF334-27E1-44DA-9DCD-AD172ADAD62A}"/>
  </bookViews>
  <sheets>
    <sheet name="Datos" sheetId="3" r:id="rId1"/>
    <sheet name="Resultados por pregunta" sheetId="1" r:id="rId2"/>
    <sheet name="Resultados por cuadrante" sheetId="2" r:id="rId3"/>
  </sheets>
  <calcPr calcId="17901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9" i="3" l="1"/>
  <c r="F402" i="1"/>
  <c r="S39" i="3"/>
  <c r="E402" i="1"/>
  <c r="R39" i="3"/>
  <c r="D402" i="1"/>
  <c r="Q39" i="3"/>
  <c r="C402" i="1"/>
  <c r="P39" i="3"/>
  <c r="B402" i="1"/>
  <c r="T38" i="3"/>
  <c r="F390" i="1"/>
  <c r="S38" i="3"/>
  <c r="E390" i="1"/>
  <c r="R38" i="3"/>
  <c r="D390" i="1"/>
  <c r="Q38" i="3"/>
  <c r="C390" i="1"/>
  <c r="P38" i="3"/>
  <c r="B390" i="1"/>
  <c r="T37" i="3"/>
  <c r="F378" i="1"/>
  <c r="S37" i="3"/>
  <c r="E378" i="1"/>
  <c r="R37" i="3"/>
  <c r="D378" i="1"/>
  <c r="Q37" i="3"/>
  <c r="C378" i="1"/>
  <c r="P37" i="3"/>
  <c r="B378" i="1"/>
  <c r="T36" i="3"/>
  <c r="F366" i="1"/>
  <c r="S36" i="3"/>
  <c r="E366" i="1"/>
  <c r="R36" i="3"/>
  <c r="D366" i="1"/>
  <c r="Q36" i="3"/>
  <c r="C366" i="1"/>
  <c r="P36" i="3"/>
  <c r="B366" i="1"/>
  <c r="T35" i="3"/>
  <c r="F354" i="1"/>
  <c r="S35" i="3"/>
  <c r="E354" i="1"/>
  <c r="R35" i="3"/>
  <c r="D354" i="1"/>
  <c r="Q35" i="3"/>
  <c r="C354" i="1"/>
  <c r="P35" i="3"/>
  <c r="B354" i="1"/>
  <c r="T34" i="3"/>
  <c r="F342" i="1"/>
  <c r="S34" i="3"/>
  <c r="E342" i="1"/>
  <c r="R34" i="3"/>
  <c r="D342" i="1"/>
  <c r="Q34" i="3"/>
  <c r="C342" i="1"/>
  <c r="P34" i="3"/>
  <c r="B342" i="1"/>
  <c r="T33" i="3"/>
  <c r="F330" i="1"/>
  <c r="S33" i="3"/>
  <c r="E330" i="1"/>
  <c r="R33" i="3"/>
  <c r="D330" i="1"/>
  <c r="Q33" i="3"/>
  <c r="C330" i="1"/>
  <c r="P33" i="3"/>
  <c r="B330" i="1"/>
  <c r="T32" i="3"/>
  <c r="F318" i="1"/>
  <c r="S32" i="3"/>
  <c r="E318" i="1"/>
  <c r="R32" i="3"/>
  <c r="D318" i="1"/>
  <c r="Q32" i="3"/>
  <c r="C318" i="1"/>
  <c r="P32" i="3"/>
  <c r="B318" i="1"/>
  <c r="T30" i="3"/>
  <c r="F304" i="1"/>
  <c r="S30" i="3"/>
  <c r="E304" i="1"/>
  <c r="R30" i="3"/>
  <c r="D304" i="1"/>
  <c r="Q30" i="3"/>
  <c r="C304" i="1"/>
  <c r="P30" i="3"/>
  <c r="B304" i="1"/>
  <c r="T29" i="3"/>
  <c r="F292" i="1"/>
  <c r="S29" i="3"/>
  <c r="E292" i="1"/>
  <c r="R29" i="3"/>
  <c r="D292" i="1"/>
  <c r="Q29" i="3"/>
  <c r="C292" i="1"/>
  <c r="P29" i="3"/>
  <c r="B292" i="1"/>
  <c r="T28" i="3"/>
  <c r="F280" i="1"/>
  <c r="S28" i="3"/>
  <c r="E280" i="1"/>
  <c r="R28" i="3"/>
  <c r="D280" i="1"/>
  <c r="Q28" i="3"/>
  <c r="C280" i="1"/>
  <c r="P28" i="3"/>
  <c r="B280" i="1"/>
  <c r="T27" i="3"/>
  <c r="F268" i="1"/>
  <c r="S27" i="3"/>
  <c r="E268" i="1"/>
  <c r="R27" i="3"/>
  <c r="D268" i="1"/>
  <c r="Q27" i="3"/>
  <c r="C268" i="1"/>
  <c r="P27" i="3"/>
  <c r="B268" i="1"/>
  <c r="T26" i="3"/>
  <c r="F256" i="1"/>
  <c r="S26" i="3"/>
  <c r="E256" i="1"/>
  <c r="R26" i="3"/>
  <c r="D256" i="1"/>
  <c r="Q26" i="3"/>
  <c r="C256" i="1"/>
  <c r="P26" i="3"/>
  <c r="B256" i="1"/>
  <c r="T25" i="3"/>
  <c r="F244" i="1"/>
  <c r="S25" i="3"/>
  <c r="E244" i="1"/>
  <c r="R25" i="3"/>
  <c r="D244" i="1"/>
  <c r="Q25" i="3"/>
  <c r="C244" i="1"/>
  <c r="P25" i="3"/>
  <c r="B244" i="1"/>
  <c r="T24" i="3"/>
  <c r="F232" i="1"/>
  <c r="S24" i="3"/>
  <c r="E232" i="1"/>
  <c r="R24" i="3"/>
  <c r="D232" i="1"/>
  <c r="Q24" i="3"/>
  <c r="C232" i="1"/>
  <c r="P24" i="3"/>
  <c r="B232" i="1"/>
  <c r="T23" i="3"/>
  <c r="F220" i="1"/>
  <c r="S23" i="3"/>
  <c r="E220" i="1"/>
  <c r="R23" i="3"/>
  <c r="D220" i="1"/>
  <c r="Q23" i="3"/>
  <c r="C220" i="1"/>
  <c r="P23" i="3"/>
  <c r="B220" i="1"/>
  <c r="T22" i="3"/>
  <c r="F208" i="1"/>
  <c r="S22" i="3"/>
  <c r="E208" i="1"/>
  <c r="R22" i="3"/>
  <c r="D208" i="1"/>
  <c r="Q22" i="3"/>
  <c r="C208" i="1"/>
  <c r="P22" i="3"/>
  <c r="B208" i="1"/>
  <c r="T20" i="3"/>
  <c r="F194" i="1"/>
  <c r="S20" i="3"/>
  <c r="E194" i="1"/>
  <c r="R20" i="3"/>
  <c r="D194" i="1"/>
  <c r="Q20" i="3"/>
  <c r="C194" i="1"/>
  <c r="P20" i="3"/>
  <c r="B194" i="1"/>
  <c r="Q19" i="3"/>
  <c r="C182" i="1"/>
  <c r="R19" i="3"/>
  <c r="D182" i="1"/>
  <c r="S19" i="3"/>
  <c r="E182" i="1"/>
  <c r="T19" i="3"/>
  <c r="F182" i="1"/>
  <c r="P19" i="3"/>
  <c r="B182" i="1"/>
  <c r="Q18" i="3"/>
  <c r="C170" i="1"/>
  <c r="R18" i="3"/>
  <c r="D170" i="1"/>
  <c r="S18" i="3"/>
  <c r="E170" i="1"/>
  <c r="T18" i="3"/>
  <c r="F170" i="1"/>
  <c r="P18" i="3"/>
  <c r="B170" i="1"/>
  <c r="Q17" i="3"/>
  <c r="C158" i="1"/>
  <c r="R17" i="3"/>
  <c r="D158" i="1"/>
  <c r="S17" i="3"/>
  <c r="E158" i="1"/>
  <c r="T17" i="3"/>
  <c r="F158" i="1"/>
  <c r="P17" i="3"/>
  <c r="B158" i="1"/>
  <c r="Q16" i="3"/>
  <c r="C146" i="1"/>
  <c r="R16" i="3"/>
  <c r="D146" i="1"/>
  <c r="S16" i="3"/>
  <c r="E146" i="1"/>
  <c r="T16" i="3"/>
  <c r="F146" i="1"/>
  <c r="P16" i="3"/>
  <c r="B146" i="1"/>
  <c r="Q15" i="3"/>
  <c r="C134" i="1"/>
  <c r="R15" i="3"/>
  <c r="D134" i="1"/>
  <c r="S15" i="3"/>
  <c r="E134" i="1"/>
  <c r="T15" i="3"/>
  <c r="F134" i="1"/>
  <c r="P15" i="3"/>
  <c r="B134" i="1"/>
  <c r="Q14" i="3"/>
  <c r="C122" i="1"/>
  <c r="R14" i="3"/>
  <c r="D122" i="1"/>
  <c r="S14" i="3"/>
  <c r="E122" i="1"/>
  <c r="T14" i="3"/>
  <c r="F122" i="1"/>
  <c r="Q13" i="3"/>
  <c r="C110" i="1"/>
  <c r="R13" i="3"/>
  <c r="D110" i="1"/>
  <c r="S13" i="3"/>
  <c r="E110" i="1"/>
  <c r="T13" i="3"/>
  <c r="F110" i="1"/>
  <c r="P13" i="3"/>
  <c r="B110" i="1"/>
  <c r="P14" i="3"/>
  <c r="B122" i="1"/>
  <c r="Q11" i="3"/>
  <c r="C96" i="1"/>
  <c r="R11" i="3"/>
  <c r="D96" i="1"/>
  <c r="S11" i="3"/>
  <c r="E96" i="1"/>
  <c r="T11" i="3"/>
  <c r="F96" i="1"/>
  <c r="P11" i="3"/>
  <c r="B96" i="1"/>
  <c r="Q10" i="3"/>
  <c r="C84" i="1"/>
  <c r="R10" i="3"/>
  <c r="D84" i="1"/>
  <c r="S10" i="3"/>
  <c r="E84" i="1"/>
  <c r="T10" i="3"/>
  <c r="F84" i="1"/>
  <c r="P10" i="3"/>
  <c r="B84" i="1"/>
  <c r="Q9" i="3"/>
  <c r="C72" i="1"/>
  <c r="R9" i="3"/>
  <c r="D72" i="1"/>
  <c r="S9" i="3"/>
  <c r="E72" i="1"/>
  <c r="T9" i="3"/>
  <c r="F72" i="1"/>
  <c r="P9" i="3"/>
  <c r="B72" i="1"/>
  <c r="T8" i="3"/>
  <c r="F60" i="1"/>
  <c r="S8" i="3"/>
  <c r="E60" i="1"/>
  <c r="R8" i="3"/>
  <c r="D60" i="1"/>
  <c r="Q8" i="3"/>
  <c r="C60" i="1"/>
  <c r="P8" i="3"/>
  <c r="B60" i="1"/>
  <c r="T7" i="3"/>
  <c r="F48" i="1"/>
  <c r="S7" i="3"/>
  <c r="E48" i="1"/>
  <c r="R7" i="3"/>
  <c r="D48" i="1"/>
  <c r="Q7" i="3"/>
  <c r="C48" i="1"/>
  <c r="P7" i="3"/>
  <c r="B48" i="1"/>
  <c r="T6" i="3"/>
  <c r="F36" i="1"/>
  <c r="S6" i="3"/>
  <c r="E36" i="1"/>
  <c r="R6" i="3"/>
  <c r="D36" i="1"/>
  <c r="Q6" i="3"/>
  <c r="C36" i="1"/>
  <c r="P6" i="3"/>
  <c r="B36" i="1"/>
  <c r="T5" i="3"/>
  <c r="F24" i="1"/>
  <c r="S5" i="3"/>
  <c r="E24" i="1"/>
  <c r="R5" i="3"/>
  <c r="D24" i="1"/>
  <c r="Q5" i="3"/>
  <c r="C24" i="1"/>
  <c r="P5" i="3"/>
  <c r="B24" i="1"/>
  <c r="A402" i="1"/>
  <c r="A390" i="1"/>
  <c r="A378" i="1"/>
  <c r="A366" i="1"/>
  <c r="A354" i="1"/>
  <c r="A342" i="1"/>
  <c r="A330" i="1"/>
  <c r="A318" i="1"/>
  <c r="A317" i="1"/>
  <c r="A304" i="1"/>
  <c r="A292" i="1"/>
  <c r="A280" i="1"/>
  <c r="A268" i="1"/>
  <c r="A256" i="1"/>
  <c r="A244" i="1"/>
  <c r="A232" i="1"/>
  <c r="A220" i="1"/>
  <c r="A208" i="1"/>
  <c r="A207" i="1"/>
  <c r="A2" i="1"/>
  <c r="A194" i="1"/>
  <c r="A182" i="1"/>
  <c r="A170" i="1"/>
  <c r="A158" i="1"/>
  <c r="A146" i="1"/>
  <c r="A134" i="1"/>
  <c r="A122" i="1"/>
  <c r="A109" i="1"/>
  <c r="A110" i="1"/>
  <c r="A96" i="1"/>
  <c r="A84" i="1"/>
  <c r="A72" i="1"/>
  <c r="A60" i="1"/>
  <c r="A48" i="1"/>
  <c r="A36" i="1"/>
  <c r="A24" i="1"/>
  <c r="T4" i="3"/>
  <c r="F12" i="1"/>
  <c r="S4" i="3"/>
  <c r="E12" i="1"/>
  <c r="R4" i="3"/>
  <c r="D12" i="1"/>
  <c r="Q4" i="3"/>
  <c r="C12" i="1"/>
  <c r="P4" i="3"/>
  <c r="B12" i="1"/>
  <c r="A12" i="1"/>
  <c r="T3" i="3"/>
  <c r="F3" i="1"/>
  <c r="S3" i="3"/>
  <c r="E3" i="1"/>
  <c r="R3" i="3"/>
  <c r="D3" i="1"/>
  <c r="Q3" i="3"/>
  <c r="C3" i="1"/>
  <c r="P3" i="3"/>
  <c r="B3" i="1"/>
  <c r="A3" i="1"/>
  <c r="O4" i="3"/>
  <c r="O5" i="3"/>
  <c r="O6" i="3"/>
  <c r="O7" i="3"/>
  <c r="O8" i="3"/>
  <c r="O9" i="3"/>
  <c r="O10" i="3"/>
  <c r="O11" i="3"/>
  <c r="O13" i="3"/>
  <c r="O14" i="3"/>
  <c r="O15" i="3"/>
  <c r="O16" i="3"/>
  <c r="O17" i="3"/>
  <c r="O18" i="3"/>
  <c r="O19" i="3"/>
  <c r="O20" i="3"/>
  <c r="O22" i="3"/>
  <c r="O23" i="3"/>
  <c r="O24" i="3"/>
  <c r="O25" i="3"/>
  <c r="O26" i="3"/>
  <c r="O27" i="3"/>
  <c r="O28" i="3"/>
  <c r="O29" i="3"/>
  <c r="O30" i="3"/>
  <c r="O32" i="3"/>
  <c r="O33" i="3"/>
  <c r="O34" i="3"/>
  <c r="O35" i="3"/>
  <c r="O36" i="3"/>
  <c r="O37" i="3"/>
  <c r="O38" i="3"/>
  <c r="O39" i="3"/>
  <c r="O3" i="3"/>
  <c r="U4" i="3"/>
  <c r="U5" i="3"/>
  <c r="U6" i="3"/>
  <c r="U7" i="3"/>
  <c r="U8" i="3"/>
  <c r="U9" i="3"/>
  <c r="U10" i="3"/>
  <c r="U11" i="3"/>
  <c r="P12" i="3"/>
  <c r="Q12" i="3"/>
  <c r="R12" i="3"/>
  <c r="S12" i="3"/>
  <c r="T12" i="3"/>
  <c r="U12" i="3"/>
  <c r="U13" i="3"/>
  <c r="U14" i="3"/>
  <c r="U15" i="3"/>
  <c r="U16" i="3"/>
  <c r="U17" i="3"/>
  <c r="U18" i="3"/>
  <c r="U19" i="3"/>
  <c r="U20" i="3"/>
  <c r="P21" i="3"/>
  <c r="Q21" i="3"/>
  <c r="R21" i="3"/>
  <c r="S21" i="3"/>
  <c r="T21" i="3"/>
  <c r="U21" i="3"/>
  <c r="U22" i="3"/>
  <c r="U23" i="3"/>
  <c r="U24" i="3"/>
  <c r="U25" i="3"/>
  <c r="U26" i="3"/>
  <c r="U27" i="3"/>
  <c r="U28" i="3"/>
  <c r="U29" i="3"/>
  <c r="U30" i="3"/>
  <c r="P31" i="3"/>
  <c r="Q31" i="3"/>
  <c r="R31" i="3"/>
  <c r="S31" i="3"/>
  <c r="T31" i="3"/>
  <c r="U31" i="3"/>
  <c r="U32" i="3"/>
  <c r="U33" i="3"/>
  <c r="U34" i="3"/>
  <c r="U35" i="3"/>
  <c r="U36" i="3"/>
  <c r="U37" i="3"/>
  <c r="U38" i="3"/>
  <c r="U39" i="3"/>
  <c r="U40" i="3"/>
  <c r="U3" i="3"/>
  <c r="G110" i="1"/>
  <c r="B15" i="2"/>
  <c r="G122" i="1"/>
  <c r="B16" i="2"/>
  <c r="G134" i="1"/>
  <c r="B17" i="2"/>
  <c r="G146" i="1"/>
  <c r="B18" i="2"/>
  <c r="G158" i="1"/>
  <c r="B19" i="2"/>
  <c r="G170" i="1"/>
  <c r="B20" i="2"/>
  <c r="G182" i="1"/>
  <c r="B21" i="2"/>
  <c r="G194" i="1"/>
  <c r="B22" i="2"/>
  <c r="B23" i="2"/>
  <c r="G208" i="1"/>
  <c r="B27" i="2"/>
  <c r="G220" i="1"/>
  <c r="B28" i="2"/>
  <c r="G232" i="1"/>
  <c r="B29" i="2"/>
  <c r="G244" i="1"/>
  <c r="B30" i="2"/>
  <c r="G256" i="1"/>
  <c r="B31" i="2"/>
  <c r="G268" i="1"/>
  <c r="B32" i="2"/>
  <c r="G280" i="1"/>
  <c r="B33" i="2"/>
  <c r="G292" i="1"/>
  <c r="B34" i="2"/>
  <c r="G304" i="1"/>
  <c r="B35" i="2"/>
  <c r="B36" i="2"/>
  <c r="G318" i="1"/>
  <c r="B39" i="2"/>
  <c r="G330" i="1"/>
  <c r="B40" i="2"/>
  <c r="G342" i="1"/>
  <c r="B41" i="2"/>
  <c r="G354" i="1"/>
  <c r="B42" i="2"/>
  <c r="G366" i="1"/>
  <c r="B43" i="2"/>
  <c r="G378" i="1"/>
  <c r="B44" i="2"/>
  <c r="G390" i="1"/>
  <c r="B45" i="2"/>
  <c r="G402" i="1"/>
  <c r="B46" i="2"/>
  <c r="B47" i="2"/>
  <c r="G3" i="1"/>
  <c r="B3" i="2"/>
  <c r="G12" i="1"/>
  <c r="B4" i="2"/>
  <c r="G24" i="1"/>
  <c r="B5" i="2"/>
  <c r="G36" i="1"/>
  <c r="B6" i="2"/>
  <c r="G48" i="1"/>
  <c r="B7" i="2"/>
  <c r="G60" i="1"/>
  <c r="B8" i="2"/>
  <c r="G72" i="1"/>
  <c r="B9" i="2"/>
  <c r="G84" i="1"/>
  <c r="B10" i="2"/>
  <c r="G96" i="1"/>
  <c r="B11" i="2"/>
  <c r="B12" i="2"/>
</calcChain>
</file>

<file path=xl/sharedStrings.xml><?xml version="1.0" encoding="utf-8"?>
<sst xmlns="http://schemas.openxmlformats.org/spreadsheetml/2006/main" count="110" uniqueCount="92">
  <si>
    <t>Promedio Ponderado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</si>
  <si>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Existe apertura en el equipo para escucharse, desafiarse y vivir con la tensión necesaria para generar cambios.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</si>
  <si>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No hay temas indiscutibles en el equipo: todos los temas se traen a la mesa y discuten abiertamente.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</si>
  <si>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 xml:space="preserve">Los miembros del equipo se dan y reciben </t>
    </r>
    <r>
      <rPr>
        <i/>
        <sz val="11"/>
        <color theme="1"/>
        <rFont val="Calibri"/>
        <family val="2"/>
      </rPr>
      <t>retroalimentación</t>
    </r>
    <r>
      <rPr>
        <sz val="11"/>
        <color theme="1"/>
        <rFont val="Calibri"/>
        <family val="2"/>
      </rPr>
      <t xml:space="preserve"> sobre comportamientos en tiempo real.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</si>
  <si>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Existe respeto incondicional entre los integrantes, y se utilizan las diferencias de opiniones y fortalezas a favor del equipo.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</si>
  <si>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El equipo contribuye y alienta a cada integrante a sacar y dar lo mejor de sí.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</si>
  <si>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Los miembros del equipo confían en la habilidad del otro, la colaboración, y el apoyo mutuo.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</si>
  <si>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Las emociones, los modelos mentales, y los valores individuales se utilizan para el logro de los resultados del equipo.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</si>
  <si>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Son vistos por los demás como un grupo unido que resulta atractivo a personas que no pertenecen a él.</t>
    </r>
  </si>
  <si>
    <t>GRADO DE ACUERDO</t>
  </si>
  <si>
    <t>CUADRANTE: RELACIONES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</si>
  <si>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El equipo tiene un propósito común que es inspirador y entusiasma a sus miembros. El propósito “captura el corazón y el alma” de los miembros del equipo.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</si>
  <si>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El equipo tiene la capacidad de comunicar dicho propósito al resto de su estructura.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</si>
  <si>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El equipo tiene claro cómo su propósito se conecta y contribuye con el propósito último de la organización.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</si>
  <si>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El equipo tiene claros sus objetivos o metas de desempeño.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</si>
  <si>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El proceso de planificación estratégica de la organización se basa en las metas de desempeño de este equipo.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</si>
  <si>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Existen métricas para los objetivos de desempeño del equipo.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</si>
  <si>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Los objetivos del equipo quedan registrados en un documento “vivo” al que se recurre y revisa periódicamente.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</si>
  <si>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El equipo reflexiona acerca de los riesgos para alcanzar las metas individuales, y discute planes para su contingencia.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</si>
  <si>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Cada miembro del equipo demuestra alineamiento con los valores de la empresa y un elevado nivel de integridad personal.</t>
    </r>
  </si>
  <si>
    <t>CUADRANTE: PROPÓSITO, METAS Y OBJETIVOS</t>
  </si>
  <si>
    <t>CUADRANTE: ROLES Y RESPONSABILIDADES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</si>
  <si>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 xml:space="preserve"> Los roles dentro del equipo están claramente definidos y acordados.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</si>
  <si>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 xml:space="preserve">Las interdependencias entre miembros están claramente definidas y funcionan cabalmente.  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</si>
  <si>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Las metas individuales y su conexión con las metas y objetivos del equipo están definidas claramente.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</si>
  <si>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Los integrantes del equipo se consideran mutua e individualmente responsables ante metas colectivas.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</si>
  <si>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El rol del líder está claramente definido y los miembros tienen un entendimiento común de éste.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</si>
  <si>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Los miembros del equipo cumplen con sus promesas demostrando compromiso respecto de las metas y objetivos individuales.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</si>
  <si>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Los miembros del equipo están dispuestos a realizar sacrificios y compartir recursos para optimizar la efectividad del equipo en el logro de las metas.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</si>
  <si>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El equipo dedica tiempo a crecer como tal, aumentando el sentido de la solidaridad entre sus miembros.</t>
    </r>
  </si>
  <si>
    <t>CUADRANTE: PROCESOS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</si>
  <si>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Existen acuerdos operativos o reglas  de funcionamiento definidas para el equipo.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</si>
  <si>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Se revisan periódicamente los procesos en base a su efectividad.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</si>
  <si>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La utilización de los recursos del equipo [tiempo y habilidades de sus integrantes] es efectiva.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</si>
  <si>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Está claro el producto de cada interacción o reunión, tanto del equipo como de los sub-equipos.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</si>
  <si>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Se utilizan mecanismos de registro que facilitan el seguimiento de los compromisos.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</si>
  <si>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La información circula con la fluidez necesaria para posibilitar la contribución efectiva de los miembros.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</si>
  <si>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 xml:space="preserve">Existen procesos adecuados para la resolución de conflictos y toma de decisiones. 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</si>
  <si>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 xml:space="preserve"> Los conflictos se resuelven en forma constructiva.  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</si>
  <si>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Los procesos son simples, mínimos y flexibles.</t>
    </r>
  </si>
  <si>
    <t>PRIMEDIO</t>
  </si>
  <si>
    <t>PROMEDIO</t>
  </si>
  <si>
    <t>PROMEDIO: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</si>
  <si>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El equipo tiene un propósito común que es inspirador y entusiasma a sus miembros. El propósito “captura el corazón y el alma” de los miembros del equipo.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</si>
  <si>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El equipo tiene la capacidad de comunicar dicho propósito al resto de su estructura.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</si>
  <si>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El equipo tiene claro cómo su propósito se conecta y contribuye con el propósito último de la organización.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</si>
  <si>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El equipo tiene claros sus objetivos o metas de desempeño.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</si>
  <si>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El proceso de planificación estratégica de la organización se basa en las metas de desempeño de este equipo.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</si>
  <si>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Existen métricas para los objetivos de desempeño del equipo.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</si>
  <si>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Los objetivos del equipo quedan registrados en un documento “vivo” al que se recurre y revisa periódicamente.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</si>
  <si>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El equipo reflexiona acerca de los riesgos para alcanzar las metas individuales, y discute planes para su contingencia.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</si>
  <si>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Cada miembro del equipo demuestra alineamiento con los valores de la empresa y un elevado nivel de integridad personal.</t>
    </r>
  </si>
  <si>
    <t>ROLES Y RESPONSABILIDADES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</si>
  <si>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 xml:space="preserve"> Los roles dentro del equipo están claramente definidos y acordados. 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</si>
  <si>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 xml:space="preserve">Las interdependencias entre miembros están claramente definidas y funcionan cabalmente.  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</si>
  <si>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Las metas individuales y su conexión con las metas y objetivos del equipo están definidas claramente.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</si>
  <si>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 xml:space="preserve">Los integrantes del equipo se consideran mutua e individualmente responsables ante metas colectivas. 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</si>
  <si>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El rol del líder está claramente definido y los miembros tienen un entendimiento común de éste.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</si>
  <si>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Los miembros del equipo cumplen con sus promesas demostrando compromiso respecto de las metas y objetivos individuales.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</si>
  <si>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 xml:space="preserve">Los miembros del equipo están dispuestos a realizar sacrificios y compartir recursos para optimizar la efectividad del equipo en el logro de las metas. 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</si>
  <si>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El equipo dedica tiempo a crecer como tal, aumentando el sentido de la solidaridad entre sus miembros.</t>
    </r>
  </si>
  <si>
    <t>PROCESOS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</si>
  <si>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Existen acuerdos operativos o reglas de funcionamiento definidas para el equipo.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</si>
  <si>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Se revisan periódicamente los procesos en base a su efectividad.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</si>
  <si>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La utilización de los recursos del equipo [tiempo y habilidades de sus integrantes] es efectiva.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</si>
  <si>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Está claro el producto de cada interacción o reunión, tanto del equipo como de los sub-equipos.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</si>
  <si>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Se utilizan mecanismos de registro que facilitan el seguimiento de los compromisos.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</si>
  <si>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>La información circula con la fluidez necesaria para posibilitar la contribución efectiva de los miembros.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</si>
  <si>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 xml:space="preserve">Existen procesos adecuados para la resolución de conflictos y toma de decisiones.  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</si>
  <si>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 xml:space="preserve"> Los conflictos se resuelven en forma constructiva.  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</si>
  <si>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</rPr>
      <t xml:space="preserve">Los procesos son simples, mínimos y flexibles. </t>
    </r>
  </si>
  <si>
    <t>RELACIONES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</si>
  <si>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</si>
  <si>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</si>
  <si>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</si>
  <si>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</si>
  <si>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</si>
  <si>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</si>
  <si>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</si>
  <si>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</si>
  <si>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</si>
  <si>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</si>
  <si>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</si>
  <si>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</si>
  <si>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TOTAL</t>
  </si>
  <si>
    <t>DISTRIBUCIÓN</t>
  </si>
  <si>
    <t>PROPÓSITO, METAS Y VALORES</t>
  </si>
  <si>
    <t>1
Para nada</t>
  </si>
  <si>
    <t>2
Escasamente</t>
  </si>
  <si>
    <t>5
Totalmente</t>
  </si>
  <si>
    <t>4
En gran medida</t>
  </si>
  <si>
    <t>3
Medianamente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</si>
</sst>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7"/>
      <color theme="1"/>
      <name val="Times New Roman"/>
      <family val="1"/>
    </font>
    <font>
      <i/>
      <sz val="11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/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1" fillId="5" borderId="5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 indent="3"/>
    </xf>
    <xf numFmtId="0" fontId="6" fillId="0" borderId="2" xfId="0" applyFont="1" applyBorder="1" applyAlignment="1">
      <alignment horizontal="left" vertical="center" wrapText="1" indent="3"/>
    </xf>
    <xf numFmtId="0" fontId="7" fillId="6" borderId="2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 indent="4"/>
    </xf>
    <xf numFmtId="0" fontId="2" fillId="0" borderId="2" xfId="0" applyFont="1" applyBorder="1" applyAlignment="1">
      <alignment horizontal="left" vertical="center" wrapText="1" indent="4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8" borderId="0" xfId="0" applyFont="1" applyFill="1"/>
    <xf numFmtId="0" fontId="0" fillId="0" borderId="0" xfId="0" applyFill="1" applyBorder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9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/>
    </xf>
    <xf numFmtId="0" fontId="8" fillId="9" borderId="0" xfId="0" applyFont="1" applyFill="1"/>
    <xf numFmtId="164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CC0000"/>
      <color rgb="FFFF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pregunta'!$A$3</c:f>
              <c:strCache>
                <c:ptCount val="1"/>
                <c:pt idx="0">
                  <c:v>1.       El equipo tiene un propósito común que es inspirador y entusiasma a sus miembros. El propósito “captura el corazón y el alma” de los miembros del equipo.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1"/>
              <c:layout>
                <c:manualLayout>
                  <c:x val="-5.5555555555555558E-3"/>
                  <c:y val="-9.328521434820647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A7-4788-981D-0E0C39512078}"/>
                </c:ext>
              </c:extLst>
            </c:dLbl>
            <c:dLbl>
              <c:idx val="3"/>
              <c:layout>
                <c:manualLayout>
                  <c:x val="0"/>
                  <c:y val="-1.85877806940799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A7-4788-981D-0E0C39512078}"/>
                </c:ext>
              </c:extLst>
            </c:dLbl>
            <c:dLbl>
              <c:idx val="4"/>
              <c:layout>
                <c:manualLayout>
                  <c:x val="-1.0185067526415994E-16"/>
                  <c:y val="-1.39581510644502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A7-4788-981D-0E0C395120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'Resultados por pregunta'!$B$3:$F$3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7-4788-981D-0E0C3951207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pregunta'!$A$12</c:f>
              <c:strCache>
                <c:ptCount val="1"/>
                <c:pt idx="0">
                  <c:v>2.       El equipo tiene la capacidad de comunicar dicho propósito al resto de su estructura.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1"/>
              <c:layout>
                <c:manualLayout>
                  <c:x val="-5.5555555555555558E-3"/>
                  <c:y val="-2.15858098382863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E4B-4B1B-871D-3E212764513A}"/>
                </c:ext>
              </c:extLst>
            </c:dLbl>
            <c:dLbl>
              <c:idx val="2"/>
              <c:layout>
                <c:manualLayout>
                  <c:x val="-1.0185067526415994E-16"/>
                  <c:y val="1.0672254677842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4B-4B1B-871D-3E212764513A}"/>
                </c:ext>
              </c:extLst>
            </c:dLbl>
            <c:dLbl>
              <c:idx val="3"/>
              <c:layout>
                <c:manualLayout>
                  <c:x val="0"/>
                  <c:y val="-1.08331216662433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4B-4B1B-871D-3E212764513A}"/>
                </c:ext>
              </c:extLst>
            </c:dLbl>
            <c:dLbl>
              <c:idx val="4"/>
              <c:layout>
                <c:manualLayout>
                  <c:x val="-1.0185067526415994E-16"/>
                  <c:y val="-1.97294894589789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4B-4B1B-871D-3E21276451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pregunta'!$B$12:$F$12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4B-4B1B-871D-3E21276451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pregunta'!$A$24</c:f>
              <c:strCache>
                <c:ptCount val="1"/>
                <c:pt idx="0">
                  <c:v>3.       El equipo tiene claro cómo su propósito se conecta y contribuye con el propósito último de la organización.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pregunta'!$B$24:$F$24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1A-4EAA-A945-698A1CA2B5A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pregunta'!$A$36</c:f>
              <c:strCache>
                <c:ptCount val="1"/>
                <c:pt idx="0">
                  <c:v>4.       El equipo tiene claros sus objetivos o metas de desempeño.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pregunta'!$B$36:$F$36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2A-4C8B-8F22-BEEFD6C468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pregunta'!$A$48</c:f>
              <c:strCache>
                <c:ptCount val="1"/>
                <c:pt idx="0">
                  <c:v>5.       El proceso de planificación estratégica de la organización se basa en las metas de desempeño de este equipo.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pregunta'!$B$48:$F$48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1-4DDE-9049-36EBE15241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pregunta'!$A$60</c:f>
              <c:strCache>
                <c:ptCount val="1"/>
                <c:pt idx="0">
                  <c:v>6.       Existen métricas para los objetivos de desempeño del equipo.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pregunta'!$B$60:$F$60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F-4524-AAAC-D046AEEEA4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pregunta'!$A$72</c:f>
              <c:strCache>
                <c:ptCount val="1"/>
                <c:pt idx="0">
                  <c:v>7.       Los objetivos del equipo quedan registrados en un documento “vivo” al que se recurre y revisa periódicamente.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pregunta'!$B$72:$F$72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D-422A-9534-8E622A903D3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pregunta'!$A$84</c:f>
              <c:strCache>
                <c:ptCount val="1"/>
                <c:pt idx="0">
                  <c:v>8.       El equipo reflexiona acerca de los riesgos para alcanzar las metas individuales, y discute planes para su contingencia.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pregunta'!$B$84:$F$84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2-4281-B5D0-8F922D580D0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pregunta'!$A$96</c:f>
              <c:strCache>
                <c:ptCount val="1"/>
                <c:pt idx="0">
                  <c:v>9.       Cada miembro del equipo demuestra alineamiento con los valores de la empresa y un elevado nivel de integridad personal.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pregunta'!$B$96:$F$96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F-47A7-A7A5-70F38FCAA97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pregunta'!$A$110</c:f>
              <c:strCache>
                <c:ptCount val="1"/>
                <c:pt idx="0">
                  <c:v>1.        Los roles dentro del equipo están claramente definidos y acordados.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pregunta'!$B$110:$F$110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9-4493-A946-8F00F39B10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pregunta'!$A$122</c:f>
              <c:strCache>
                <c:ptCount val="1"/>
                <c:pt idx="0">
                  <c:v>2.       Las interdependencias entre miembros están claramente definidas y funcionan cabalmente. 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pregunta'!$B$122:$F$122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7-455E-9442-1F5964D4480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pregunta'!$A$134</c:f>
              <c:strCache>
                <c:ptCount val="1"/>
                <c:pt idx="0">
                  <c:v>3.       Las metas individuales y su conexión con las metas y objetivos del equipo están definidas claramente.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pregunta'!$B$134:$F$134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F-4295-9FFE-84894AC37BA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pregunta'!$A$146</c:f>
              <c:strCache>
                <c:ptCount val="1"/>
                <c:pt idx="0">
                  <c:v>4.       Los integrantes del equipo se consideran mutua e individualmente responsables ante metas colectivas.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pregunta'!$B$146:$F$146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D-4EED-B526-9418A17D47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pregunta'!$A$158</c:f>
              <c:strCache>
                <c:ptCount val="1"/>
                <c:pt idx="0">
                  <c:v>5.       El rol del líder está claramente definido y los miembros tienen un entendimiento común de éste.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pregunta'!$B$158:$F$158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C-4071-91E6-95300EBEB7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pregunta'!$A$170</c:f>
              <c:strCache>
                <c:ptCount val="1"/>
                <c:pt idx="0">
                  <c:v>6.       Los miembros del equipo cumplen con sus promesas demostrando compromiso respecto de las metas y objetivos individuales.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pregunta'!$B$170:$F$170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E-4712-8675-038C4F0D20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pregunta'!$A$182</c:f>
              <c:strCache>
                <c:ptCount val="1"/>
                <c:pt idx="0">
                  <c:v>7.       Los miembros del equipo están dispuestos a realizar sacrificios y compartir recursos para optimizar la efectividad del equipo en el logro de las metas.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pregunta'!$B$182:$F$182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E-4634-90B9-DD170760BA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pregunta'!$A$194</c:f>
              <c:strCache>
                <c:ptCount val="1"/>
                <c:pt idx="0">
                  <c:v>8.       El equipo dedica tiempo a crecer como tal, aumentando el sentido de la solidaridad entre sus miembros.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pregunta'!$B$194:$F$194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8-4FFB-A7A1-50C472F07A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pregunta'!$A$208</c:f>
              <c:strCache>
                <c:ptCount val="1"/>
                <c:pt idx="0">
                  <c:v>1.       Existen acuerdos operativos o reglas de funcionamiento definidas para el equipo.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pregunta'!$B$208:$F$208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E-40BA-9671-B9015388DCB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pregunta'!$A$220</c:f>
              <c:strCache>
                <c:ptCount val="1"/>
                <c:pt idx="0">
                  <c:v>2.       Se revisan periódicamente los procesos en base a su efectividad.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554-45E6-BDDC-D6CFF52E7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pregunta'!$B$220:$F$220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2-4E9E-A1D8-96040EDF3E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pregunta'!$A$232</c:f>
              <c:strCache>
                <c:ptCount val="1"/>
                <c:pt idx="0">
                  <c:v>3.       La utilización de los recursos del equipo [tiempo y habilidades de sus integrantes] es efectiva.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09A5-49F4-8A00-0011B87439E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9A5-49F4-8A00-0011B87439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pregunta'!$B$232:$F$232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4-4DA8-94F5-0B3BF7CA97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pregunta'!$A$244</c:f>
              <c:strCache>
                <c:ptCount val="1"/>
                <c:pt idx="0">
                  <c:v>4.       Está claro el producto de cada interacción o reunión, tanto del equipo como de los sub-equipos.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C3ED-4F96-93D9-E1D05CA425D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3ED-4F96-93D9-E1D05CA425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pregunta'!$B$244:$F$244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7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4-4D19-B9A1-7F93A58B5D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pregunta'!$A$256</c:f>
              <c:strCache>
                <c:ptCount val="1"/>
                <c:pt idx="0">
                  <c:v>5.       Se utilizan mecanismos de registro que facilitan el seguimiento de los compromisos.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8C8-4478-9644-60A1C07997F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E8C8-4478-9644-60A1C07997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pregunta'!$B$256:$F$256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5-47E3-A36D-3F998337B74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pregunta'!$A$268</c:f>
              <c:strCache>
                <c:ptCount val="1"/>
                <c:pt idx="0">
                  <c:v>6.       La información circula con la fluidez necesaria para posibilitar la contribución efectiva de los miembros.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BAE-4B9E-9B12-8AB00882FD4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CBAE-4B9E-9B12-8AB00882FD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pregunta'!$B$268:$F$268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1-4E6D-919B-8FC84CF9B4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pregunta'!$A$280</c:f>
              <c:strCache>
                <c:ptCount val="1"/>
                <c:pt idx="0">
                  <c:v>7.       Existen procesos adecuados para la resolución de conflictos y toma de decisiones. 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284-4E8C-912F-FAABC10E35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pregunta'!$B$280:$F$280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F-488B-BEA5-EB5A699AF0E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pregunta'!$A$292</c:f>
              <c:strCache>
                <c:ptCount val="1"/>
                <c:pt idx="0">
                  <c:v>8.        Los conflictos se resuelven en forma constructiva. 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9D1-4A9C-9A85-60710483035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9D1-4A9C-9A85-6071048303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pregunta'!$B$292:$F$292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C-48FE-9352-45CB4BC10B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pregunta'!$A$304</c:f>
              <c:strCache>
                <c:ptCount val="1"/>
                <c:pt idx="0">
                  <c:v>9.       Los procesos son simples, mínimos y flexibles.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pregunta'!$B$304:$F$304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8-4A29-9448-BE1C7620A4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pregunta'!$A$318</c:f>
              <c:strCache>
                <c:ptCount val="1"/>
                <c:pt idx="0">
                  <c:v>1.       Existe apertura en el equipo para escucharse, desafiarse y vivir con la tensión necesaria para generar cambios.</c:v>
                </c:pt>
              </c:strCache>
            </c:strRef>
          </c:tx>
          <c:spPr>
            <a:solidFill>
              <a:srgbClr val="CC000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875-453C-B31F-473AE9A7364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C875-453C-B31F-473AE9A736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pregunta'!$B$318:$F$318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7-4EB1-8FC9-FEEA62ADCE8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pregunta'!$A$330</c:f>
              <c:strCache>
                <c:ptCount val="1"/>
                <c:pt idx="0">
                  <c:v>2.       No hay temas indiscutibles en el equipo: todos los temas se traen a la mesa y discuten abiertamente.</c:v>
                </c:pt>
              </c:strCache>
            </c:strRef>
          </c:tx>
          <c:spPr>
            <a:solidFill>
              <a:srgbClr val="CC000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CF07-4D13-9320-62F81F454C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pregunta'!$B$330:$F$330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7-427C-AF66-F10539F9F94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pregunta'!$A$342</c:f>
              <c:strCache>
                <c:ptCount val="1"/>
                <c:pt idx="0">
                  <c:v>3.       Los miembros del equipo se dan y reciben retroalimentación sobre comportamientos en tiempo real.</c:v>
                </c:pt>
              </c:strCache>
            </c:strRef>
          </c:tx>
          <c:spPr>
            <a:solidFill>
              <a:srgbClr val="CC000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71FD-4F25-8616-6BD2757B7B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pregunta'!$B$342:$F$342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2-432E-90C1-9094937106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pregunta'!$A$354</c:f>
              <c:strCache>
                <c:ptCount val="1"/>
                <c:pt idx="0">
                  <c:v>4.       Existe respeto incondicional entre los integrantes, y se utilizan las diferencias de opiniones y fortalezas a favor del equipo.</c:v>
                </c:pt>
              </c:strCache>
            </c:strRef>
          </c:tx>
          <c:spPr>
            <a:solidFill>
              <a:srgbClr val="CC000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20B8-43AC-8D07-5B00464793A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0B8-43AC-8D07-5B00464793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pregunta'!$B$354:$F$354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A-4522-9D75-6C7519CD79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pregunta'!$A$366</c:f>
              <c:strCache>
                <c:ptCount val="1"/>
                <c:pt idx="0">
                  <c:v>5.       El equipo contribuye y alienta a cada integrante a sacar y dar lo mejor de sí.</c:v>
                </c:pt>
              </c:strCache>
            </c:strRef>
          </c:tx>
          <c:spPr>
            <a:solidFill>
              <a:srgbClr val="CC000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C20-4921-85B5-94D2E4D1425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6C20-4921-85B5-94D2E4D142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pregunta'!$B$366:$F$366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0-4BC1-B387-3AC676BDDA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pregunta'!$A$378</c:f>
              <c:strCache>
                <c:ptCount val="1"/>
                <c:pt idx="0">
                  <c:v>6.       Los miembros del equipo confían en la habilidad del otro, la colaboración, y el apoyo mutuo.</c:v>
                </c:pt>
              </c:strCache>
            </c:strRef>
          </c:tx>
          <c:spPr>
            <a:solidFill>
              <a:srgbClr val="CC000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01D-47E1-B5B0-1AF8821A82D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01D-47E1-B5B0-1AF8821A82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pregunta'!$B$378:$F$378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3-4920-A667-8A3727D014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pregunta'!$A$390</c:f>
              <c:strCache>
                <c:ptCount val="1"/>
                <c:pt idx="0">
                  <c:v>7.       Las emociones, los modelos mentales, y los valores individuales se utilizan para el logro de los resultados del equipo.</c:v>
                </c:pt>
              </c:strCache>
            </c:strRef>
          </c:tx>
          <c:spPr>
            <a:solidFill>
              <a:srgbClr val="CC000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D35-490A-A85F-E8BC8E95D84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D35-490A-A85F-E8BC8E95D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pregunta'!$B$390:$F$390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F-4B6D-9449-B894668C51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por pregunta'!$A$402</c:f>
              <c:strCache>
                <c:ptCount val="1"/>
                <c:pt idx="0">
                  <c:v>8.       Son vistos por los demás como un grupo unido que resulta atractivo a personas que no pertenecen a él.</c:v>
                </c:pt>
              </c:strCache>
            </c:strRef>
          </c:tx>
          <c:spPr>
            <a:solidFill>
              <a:srgbClr val="CC000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410-479C-B347-F7EFEF922A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pregunta'!$B$2:$F$2</c:f>
              <c:strCache>
                <c:ptCount val="5"/>
                <c:pt idx="0">
                  <c:v>1
Para nada</c:v>
                </c:pt>
                <c:pt idx="1">
                  <c:v>2
Escasamente</c:v>
                </c:pt>
                <c:pt idx="2">
                  <c:v>3
Medianamente</c:v>
                </c:pt>
                <c:pt idx="3">
                  <c:v>4
En gran medida</c:v>
                </c:pt>
                <c:pt idx="4">
                  <c:v>5
Totalmente</c:v>
                </c:pt>
              </c:strCache>
            </c:strRef>
          </c:cat>
          <c:val>
            <c:numRef>
              <c:f>'Resultados por pregunta'!$B$402:$F$402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7-4C77-BB98-5CBE4683C0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671976"/>
        <c:axId val="479531256"/>
      </c:barChart>
      <c:catAx>
        <c:axId val="47767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31256"/>
        <c:crosses val="autoZero"/>
        <c:auto val="1"/>
        <c:lblAlgn val="ctr"/>
        <c:lblOffset val="100"/>
        <c:noMultiLvlLbl val="0"/>
      </c:catAx>
      <c:valAx>
        <c:axId val="47953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71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'Resultados por cuadrante'!$A$2</c:f>
              <c:strCache>
                <c:ptCount val="1"/>
                <c:pt idx="0">
                  <c:v>CUADRANTE: PROPÓSITO, METAS Y OBJETIVOS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cuadrante'!$A$3:$A$11</c:f>
              <c:strCache>
                <c:ptCount val="9"/>
                <c:pt idx="0">
                  <c:v>1.       El equipo tiene un propósito común que es inspirador y entusiasma a sus miembros. El propósito “captura el corazón y el alma” de los miembros del equipo.</c:v>
                </c:pt>
                <c:pt idx="1">
                  <c:v>2.       El equipo tiene la capacidad de comunicar dicho propósito al resto de su estructura.</c:v>
                </c:pt>
                <c:pt idx="2">
                  <c:v>3.       El equipo tiene claro cómo su propósito se conecta y contribuye con el propósito último de la organización.</c:v>
                </c:pt>
                <c:pt idx="3">
                  <c:v>4.       El equipo tiene claros sus objetivos o metas de desempeño.</c:v>
                </c:pt>
                <c:pt idx="4">
                  <c:v>5.       El proceso de planificación estratégica de la organización se basa en las metas de desempeño de este equipo.</c:v>
                </c:pt>
                <c:pt idx="5">
                  <c:v>6.       Existen métricas para los objetivos de desempeño del equipo.</c:v>
                </c:pt>
                <c:pt idx="6">
                  <c:v>7.       Los objetivos del equipo quedan registrados en un documento “vivo” al que se recurre y revisa periódicamente.</c:v>
                </c:pt>
                <c:pt idx="7">
                  <c:v>8.       El equipo reflexiona acerca de los riesgos para alcanzar las metas individuales, y discute planes para su contingencia.</c:v>
                </c:pt>
                <c:pt idx="8">
                  <c:v>9.       Cada miembro del equipo demuestra alineamiento con los valores de la empresa y un elevado nivel de integridad personal.</c:v>
                </c:pt>
              </c:strCache>
            </c:strRef>
          </c:cat>
          <c:val>
            <c:numRef>
              <c:f>'Resultados por cuadrante'!$B$3:$B$11</c:f>
              <c:numCache>
                <c:formatCode>0.0</c:formatCode>
                <c:ptCount val="9"/>
                <c:pt idx="0">
                  <c:v>3.2727272727272729</c:v>
                </c:pt>
                <c:pt idx="1">
                  <c:v>3</c:v>
                </c:pt>
                <c:pt idx="2">
                  <c:v>3.8181818181818183</c:v>
                </c:pt>
                <c:pt idx="3">
                  <c:v>3.6363636363636362</c:v>
                </c:pt>
                <c:pt idx="4">
                  <c:v>3.1818181818181817</c:v>
                </c:pt>
                <c:pt idx="5">
                  <c:v>2.4545454545454546</c:v>
                </c:pt>
                <c:pt idx="6">
                  <c:v>2.2727272727272729</c:v>
                </c:pt>
                <c:pt idx="7">
                  <c:v>2.6363636363636362</c:v>
                </c:pt>
                <c:pt idx="8">
                  <c:v>3.8181818181818183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6-4ED8-BD40-A15703A384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75693656"/>
        <c:axId val="475694640"/>
      </c:barChart>
      <c:catAx>
        <c:axId val="475693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94640"/>
        <c:crosses val="autoZero"/>
        <c:auto val="1"/>
        <c:lblAlgn val="ctr"/>
        <c:lblOffset val="100"/>
        <c:noMultiLvlLbl val="0"/>
      </c:catAx>
      <c:valAx>
        <c:axId val="47569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93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'Resultados por cuadrante'!$A$14</c:f>
              <c:strCache>
                <c:ptCount val="1"/>
                <c:pt idx="0">
                  <c:v>CUADRANTE: ROLES Y RESPONSABILIDADES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cuadrante'!$A$15:$A$22</c:f>
              <c:strCache>
                <c:ptCount val="8"/>
                <c:pt idx="0">
                  <c:v>1.        Los roles dentro del equipo están claramente definidos y acordados.</c:v>
                </c:pt>
                <c:pt idx="1">
                  <c:v>2.       Las interdependencias entre miembros están claramente definidas y funcionan cabalmente.  </c:v>
                </c:pt>
                <c:pt idx="2">
                  <c:v>3.       Las metas individuales y su conexión con las metas y objetivos del equipo están definidas claramente.</c:v>
                </c:pt>
                <c:pt idx="3">
                  <c:v>4.       Los integrantes del equipo se consideran mutua e individualmente responsables ante metas colectivas.</c:v>
                </c:pt>
                <c:pt idx="4">
                  <c:v>5.       El rol del líder está claramente definido y los miembros tienen un entendimiento común de éste.</c:v>
                </c:pt>
                <c:pt idx="5">
                  <c:v>6.       Los miembros del equipo cumplen con sus promesas demostrando compromiso respecto de las metas y objetivos individuales.</c:v>
                </c:pt>
                <c:pt idx="6">
                  <c:v>7.       Los miembros del equipo están dispuestos a realizar sacrificios y compartir recursos para optimizar la efectividad del equipo en el logro de las metas.</c:v>
                </c:pt>
                <c:pt idx="7">
                  <c:v>8.       El equipo dedica tiempo a crecer como tal, aumentando el sentido de la solidaridad entre sus miembros.</c:v>
                </c:pt>
              </c:strCache>
            </c:strRef>
          </c:cat>
          <c:val>
            <c:numRef>
              <c:f>'Resultados por cuadrante'!$B$15:$B$22</c:f>
              <c:numCache>
                <c:formatCode>0.0</c:formatCode>
                <c:ptCount val="8"/>
                <c:pt idx="0">
                  <c:v>4.0909090909090908</c:v>
                </c:pt>
                <c:pt idx="1">
                  <c:v>3.7272727272727271</c:v>
                </c:pt>
                <c:pt idx="2">
                  <c:v>3.5454545454545454</c:v>
                </c:pt>
                <c:pt idx="3">
                  <c:v>3.1818181818181817</c:v>
                </c:pt>
                <c:pt idx="4">
                  <c:v>3.5454545454545454</c:v>
                </c:pt>
                <c:pt idx="5">
                  <c:v>3.8181818181818183</c:v>
                </c:pt>
                <c:pt idx="6">
                  <c:v>3.4545454545454546</c:v>
                </c:pt>
                <c:pt idx="7">
                  <c:v>3.8181818181818183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2-4D58-9080-EC0866A462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75693656"/>
        <c:axId val="475694640"/>
      </c:barChart>
      <c:catAx>
        <c:axId val="475693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94640"/>
        <c:crosses val="autoZero"/>
        <c:auto val="1"/>
        <c:lblAlgn val="ctr"/>
        <c:lblOffset val="100"/>
        <c:noMultiLvlLbl val="0"/>
      </c:catAx>
      <c:valAx>
        <c:axId val="47569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93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'Resultados por cuadrante'!$A$26</c:f>
              <c:strCache>
                <c:ptCount val="1"/>
                <c:pt idx="0">
                  <c:v>CUADRANTE: PROCESOS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cuadrante'!$A$27:$A$35</c:f>
              <c:strCache>
                <c:ptCount val="9"/>
                <c:pt idx="0">
                  <c:v>1.       Existen acuerdos operativos o reglas  de funcionamiento definidas para el equipo.</c:v>
                </c:pt>
                <c:pt idx="1">
                  <c:v>2.       Se revisan periódicamente los procesos en base a su efectividad.</c:v>
                </c:pt>
                <c:pt idx="2">
                  <c:v>3.       La utilización de los recursos del equipo [tiempo y habilidades de sus integrantes] es efectiva.</c:v>
                </c:pt>
                <c:pt idx="3">
                  <c:v>4.       Está claro el producto de cada interacción o reunión, tanto del equipo como de los sub-equipos.</c:v>
                </c:pt>
                <c:pt idx="4">
                  <c:v>5.       Se utilizan mecanismos de registro que facilitan el seguimiento de los compromisos.</c:v>
                </c:pt>
                <c:pt idx="5">
                  <c:v>6.       La información circula con la fluidez necesaria para posibilitar la contribución efectiva de los miembros.</c:v>
                </c:pt>
                <c:pt idx="6">
                  <c:v>7.       Existen procesos adecuados para la resolución de conflictos y toma de decisiones. </c:v>
                </c:pt>
                <c:pt idx="7">
                  <c:v>8.        Los conflictos se resuelven en forma constructiva.  </c:v>
                </c:pt>
                <c:pt idx="8">
                  <c:v>9.       Los procesos son simples, mínimos y flexibles.</c:v>
                </c:pt>
              </c:strCache>
            </c:strRef>
          </c:cat>
          <c:val>
            <c:numRef>
              <c:f>'Resultados por cuadrante'!$B$27:$B$35</c:f>
              <c:numCache>
                <c:formatCode>0.0</c:formatCode>
                <c:ptCount val="9"/>
                <c:pt idx="0">
                  <c:v>3.5454545454545454</c:v>
                </c:pt>
                <c:pt idx="1">
                  <c:v>2.8181818181818183</c:v>
                </c:pt>
                <c:pt idx="2">
                  <c:v>4</c:v>
                </c:pt>
                <c:pt idx="3">
                  <c:v>3.0909090909090908</c:v>
                </c:pt>
                <c:pt idx="4">
                  <c:v>3.2727272727272729</c:v>
                </c:pt>
                <c:pt idx="5">
                  <c:v>3.8181818181818183</c:v>
                </c:pt>
                <c:pt idx="6">
                  <c:v>3</c:v>
                </c:pt>
                <c:pt idx="7">
                  <c:v>3.7272727272727271</c:v>
                </c:pt>
                <c:pt idx="8">
                  <c:v>2.8181818181818183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2-416C-BECE-1DE6B69AD7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75693656"/>
        <c:axId val="475694640"/>
      </c:barChart>
      <c:catAx>
        <c:axId val="475693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94640"/>
        <c:crosses val="autoZero"/>
        <c:auto val="1"/>
        <c:lblAlgn val="ctr"/>
        <c:lblOffset val="100"/>
        <c:noMultiLvlLbl val="0"/>
      </c:catAx>
      <c:valAx>
        <c:axId val="475694640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93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'Resultados por cuadrante'!$A$38</c:f>
              <c:strCache>
                <c:ptCount val="1"/>
                <c:pt idx="0">
                  <c:v>CUADRANTE: RELACIONES</c:v>
                </c:pt>
              </c:strCache>
            </c:strRef>
          </c:tx>
          <c:spPr>
            <a:solidFill>
              <a:srgbClr val="CC000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por cuadrante'!$A$39:$A$46</c:f>
              <c:strCache>
                <c:ptCount val="8"/>
                <c:pt idx="0">
                  <c:v>1.       Existe apertura en el equipo para escucharse, desafiarse y vivir con la tensión necesaria para generar cambios.</c:v>
                </c:pt>
                <c:pt idx="1">
                  <c:v>2.       No hay temas indiscutibles en el equipo: todos los temas se traen a la mesa y discuten abiertamente.</c:v>
                </c:pt>
                <c:pt idx="2">
                  <c:v>3.       Los miembros del equipo se dan y reciben retroalimentación sobre comportamientos en tiempo real.</c:v>
                </c:pt>
                <c:pt idx="3">
                  <c:v>4.       Existe respeto incondicional entre los integrantes, y se utilizan las diferencias de opiniones y fortalezas a favor del equipo.</c:v>
                </c:pt>
                <c:pt idx="4">
                  <c:v>5.       El equipo contribuye y alienta a cada integrante a sacar y dar lo mejor de sí.</c:v>
                </c:pt>
                <c:pt idx="5">
                  <c:v>6.       Los miembros del equipo confían en la habilidad del otro, la colaboración, y el apoyo mutuo.</c:v>
                </c:pt>
                <c:pt idx="6">
                  <c:v>7.       Las emociones, los modelos mentales, y los valores individuales se utilizan para el logro de los resultados del equipo.</c:v>
                </c:pt>
                <c:pt idx="7">
                  <c:v>8.       Son vistos por los demás como un grupo unido que resulta atractivo a personas que no pertenecen a él.</c:v>
                </c:pt>
              </c:strCache>
            </c:strRef>
          </c:cat>
          <c:val>
            <c:numRef>
              <c:f>'Resultados por cuadrante'!$B$39:$B$46</c:f>
              <c:numCache>
                <c:formatCode>0.0</c:formatCode>
                <c:ptCount val="8"/>
                <c:pt idx="0">
                  <c:v>3.6363636363636362</c:v>
                </c:pt>
                <c:pt idx="1">
                  <c:v>3.4545454545454546</c:v>
                </c:pt>
                <c:pt idx="2">
                  <c:v>2.8181818181818183</c:v>
                </c:pt>
                <c:pt idx="3">
                  <c:v>3.6363636363636362</c:v>
                </c:pt>
                <c:pt idx="4">
                  <c:v>3.2727272727272729</c:v>
                </c:pt>
                <c:pt idx="5">
                  <c:v>3.3636363636363638</c:v>
                </c:pt>
                <c:pt idx="6">
                  <c:v>3</c:v>
                </c:pt>
                <c:pt idx="7">
                  <c:v>2.6363636363636362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A-4B98-AC63-E92439A1B2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75693656"/>
        <c:axId val="475694640"/>
      </c:barChart>
      <c:catAx>
        <c:axId val="475693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94640"/>
        <c:crosses val="autoZero"/>
        <c:auto val="1"/>
        <c:lblAlgn val="ctr"/>
        <c:lblOffset val="100"/>
        <c:noMultiLvlLbl val="0"/>
      </c:catAx>
      <c:valAx>
        <c:axId val="475694640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93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4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1</xdr:row>
      <xdr:rowOff>161925</xdr:rowOff>
    </xdr:from>
    <xdr:to>
      <xdr:col>15</xdr:col>
      <xdr:colOff>352425</xdr:colOff>
      <xdr:row>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D44F7F-947B-4850-BDA8-A13CC7B64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219075</xdr:colOff>
      <xdr:row>2</xdr:row>
      <xdr:rowOff>190500</xdr:rowOff>
    </xdr:from>
    <xdr:ext cx="852669" cy="217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603121-098C-4CE0-A8F5-29CF21312E9C}"/>
            </a:ext>
          </a:extLst>
        </xdr:cNvPr>
        <xdr:cNvSpPr txBox="1"/>
      </xdr:nvSpPr>
      <xdr:spPr>
        <a:xfrm>
          <a:off x="12487275" y="1333500"/>
          <a:ext cx="852669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solidFill>
                <a:srgbClr val="FF0000"/>
              </a:solidFill>
            </a:rPr>
            <a:t>Promedio =  3,3</a:t>
          </a:r>
        </a:p>
      </xdr:txBody>
    </xdr:sp>
    <xdr:clientData/>
  </xdr:oneCellAnchor>
  <xdr:twoCellAnchor>
    <xdr:from>
      <xdr:col>8</xdr:col>
      <xdr:colOff>0</xdr:colOff>
      <xdr:row>11</xdr:row>
      <xdr:rowOff>0</xdr:rowOff>
    </xdr:from>
    <xdr:to>
      <xdr:col>15</xdr:col>
      <xdr:colOff>304800</xdr:colOff>
      <xdr:row>21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4C0C0C-292B-4EC5-A40C-FDDAE827E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304800</xdr:colOff>
      <xdr:row>34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998DED-BAED-43EB-B013-D2E1C9FCC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15</xdr:col>
      <xdr:colOff>304800</xdr:colOff>
      <xdr:row>46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62A9BF-1FE0-4632-9EEA-DE91E9852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15</xdr:col>
      <xdr:colOff>304800</xdr:colOff>
      <xdr:row>59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3DB109-F9FA-4A01-A0BA-F7E18A33D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59</xdr:row>
      <xdr:rowOff>152400</xdr:rowOff>
    </xdr:from>
    <xdr:to>
      <xdr:col>15</xdr:col>
      <xdr:colOff>304800</xdr:colOff>
      <xdr:row>71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4F6BD1-0558-4B5E-A0AB-69DFCFAE6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71</xdr:row>
      <xdr:rowOff>76200</xdr:rowOff>
    </xdr:from>
    <xdr:to>
      <xdr:col>15</xdr:col>
      <xdr:colOff>304800</xdr:colOff>
      <xdr:row>82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BEE5775-2EDC-4828-9AC1-120EDFBD3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83</xdr:row>
      <xdr:rowOff>0</xdr:rowOff>
    </xdr:from>
    <xdr:to>
      <xdr:col>15</xdr:col>
      <xdr:colOff>304800</xdr:colOff>
      <xdr:row>95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677584C-55CD-43E1-B271-B4554CB9A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9525</xdr:colOff>
      <xdr:row>95</xdr:row>
      <xdr:rowOff>171450</xdr:rowOff>
    </xdr:from>
    <xdr:to>
      <xdr:col>15</xdr:col>
      <xdr:colOff>314325</xdr:colOff>
      <xdr:row>107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06D595B-6261-4287-BB66-367CA3381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109</xdr:row>
      <xdr:rowOff>0</xdr:rowOff>
    </xdr:from>
    <xdr:to>
      <xdr:col>15</xdr:col>
      <xdr:colOff>304800</xdr:colOff>
      <xdr:row>120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BF3CFB5-3463-4B08-A28E-45FC7D80A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304800</xdr:colOff>
      <xdr:row>133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D34F8F9-5DFC-431C-BD7E-7F3D1A2F2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9525</xdr:colOff>
      <xdr:row>133</xdr:row>
      <xdr:rowOff>133350</xdr:rowOff>
    </xdr:from>
    <xdr:to>
      <xdr:col>15</xdr:col>
      <xdr:colOff>314325</xdr:colOff>
      <xdr:row>146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51C13F0-869C-4BD2-A00E-88C823994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0</xdr:colOff>
      <xdr:row>146</xdr:row>
      <xdr:rowOff>76200</xdr:rowOff>
    </xdr:from>
    <xdr:to>
      <xdr:col>15</xdr:col>
      <xdr:colOff>304800</xdr:colOff>
      <xdr:row>156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16567AD-1F45-425E-969C-0927960C2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157</xdr:row>
      <xdr:rowOff>0</xdr:rowOff>
    </xdr:from>
    <xdr:to>
      <xdr:col>15</xdr:col>
      <xdr:colOff>304800</xdr:colOff>
      <xdr:row>169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9A0CAC3-277C-4009-9D60-DE687BD2A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19050</xdr:colOff>
      <xdr:row>169</xdr:row>
      <xdr:rowOff>104776</xdr:rowOff>
    </xdr:from>
    <xdr:to>
      <xdr:col>15</xdr:col>
      <xdr:colOff>323850</xdr:colOff>
      <xdr:row>180</xdr:row>
      <xdr:rowOff>104776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9F00C85-3F28-4BCC-B11D-9180AF6BF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181</xdr:row>
      <xdr:rowOff>0</xdr:rowOff>
    </xdr:from>
    <xdr:to>
      <xdr:col>15</xdr:col>
      <xdr:colOff>304800</xdr:colOff>
      <xdr:row>192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A70678F-E664-47A4-A1DC-EA4CC1613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0</xdr:colOff>
      <xdr:row>193</xdr:row>
      <xdr:rowOff>0</xdr:rowOff>
    </xdr:from>
    <xdr:to>
      <xdr:col>15</xdr:col>
      <xdr:colOff>304800</xdr:colOff>
      <xdr:row>204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9857758-27A4-4568-BA1C-2528ACE09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0</xdr:colOff>
      <xdr:row>206</xdr:row>
      <xdr:rowOff>0</xdr:rowOff>
    </xdr:from>
    <xdr:to>
      <xdr:col>15</xdr:col>
      <xdr:colOff>304800</xdr:colOff>
      <xdr:row>217</xdr:row>
      <xdr:rowOff>142875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BC80634-F925-47EF-865E-DD004D9E4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0</xdr:colOff>
      <xdr:row>218</xdr:row>
      <xdr:rowOff>0</xdr:rowOff>
    </xdr:from>
    <xdr:to>
      <xdr:col>15</xdr:col>
      <xdr:colOff>304800</xdr:colOff>
      <xdr:row>230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6C31B55-5584-45A5-AAE1-D30F14543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19050</xdr:colOff>
      <xdr:row>231</xdr:row>
      <xdr:rowOff>28575</xdr:rowOff>
    </xdr:from>
    <xdr:to>
      <xdr:col>15</xdr:col>
      <xdr:colOff>323850</xdr:colOff>
      <xdr:row>243</xdr:row>
      <xdr:rowOff>28575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B077292-B2FA-4FB3-B512-EF12F2245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0</xdr:colOff>
      <xdr:row>243</xdr:row>
      <xdr:rowOff>47625</xdr:rowOff>
    </xdr:from>
    <xdr:to>
      <xdr:col>15</xdr:col>
      <xdr:colOff>304800</xdr:colOff>
      <xdr:row>254</xdr:row>
      <xdr:rowOff>161925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A898982-B194-42A1-AEEE-22533426B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0</xdr:colOff>
      <xdr:row>255</xdr:row>
      <xdr:rowOff>0</xdr:rowOff>
    </xdr:from>
    <xdr:to>
      <xdr:col>15</xdr:col>
      <xdr:colOff>304800</xdr:colOff>
      <xdr:row>266</xdr:row>
      <xdr:rowOff>66675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63524CE-13DB-4C18-ABC4-F38BA3AA7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0</xdr:colOff>
      <xdr:row>267</xdr:row>
      <xdr:rowOff>0</xdr:rowOff>
    </xdr:from>
    <xdr:to>
      <xdr:col>15</xdr:col>
      <xdr:colOff>304800</xdr:colOff>
      <xdr:row>278</xdr:row>
      <xdr:rowOff>66675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DD7703C-3119-4724-AA0F-088A555CD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0</xdr:colOff>
      <xdr:row>279</xdr:row>
      <xdr:rowOff>0</xdr:rowOff>
    </xdr:from>
    <xdr:to>
      <xdr:col>15</xdr:col>
      <xdr:colOff>304800</xdr:colOff>
      <xdr:row>290</xdr:row>
      <xdr:rowOff>66675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5D7F45EE-30C6-4402-8B25-83C95C2C5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0</xdr:colOff>
      <xdr:row>291</xdr:row>
      <xdr:rowOff>0</xdr:rowOff>
    </xdr:from>
    <xdr:to>
      <xdr:col>15</xdr:col>
      <xdr:colOff>304800</xdr:colOff>
      <xdr:row>302</xdr:row>
      <xdr:rowOff>66675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13F14D7-D6B5-40A7-8309-2C5D0F6D2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8</xdr:col>
      <xdr:colOff>0</xdr:colOff>
      <xdr:row>303</xdr:row>
      <xdr:rowOff>0</xdr:rowOff>
    </xdr:from>
    <xdr:to>
      <xdr:col>15</xdr:col>
      <xdr:colOff>304800</xdr:colOff>
      <xdr:row>314</xdr:row>
      <xdr:rowOff>66675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2CA208B1-C518-40EE-8D34-C4657D6FB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0</xdr:colOff>
      <xdr:row>317</xdr:row>
      <xdr:rowOff>0</xdr:rowOff>
    </xdr:from>
    <xdr:to>
      <xdr:col>15</xdr:col>
      <xdr:colOff>304800</xdr:colOff>
      <xdr:row>328</xdr:row>
      <xdr:rowOff>66675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A66E8D1-5F45-4BCC-AC85-0BCA0FE1A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</xdr:col>
      <xdr:colOff>0</xdr:colOff>
      <xdr:row>329</xdr:row>
      <xdr:rowOff>0</xdr:rowOff>
    </xdr:from>
    <xdr:to>
      <xdr:col>15</xdr:col>
      <xdr:colOff>304800</xdr:colOff>
      <xdr:row>340</xdr:row>
      <xdr:rowOff>66675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E6FC45E-C762-43E7-B763-A6B4A89CC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</xdr:col>
      <xdr:colOff>0</xdr:colOff>
      <xdr:row>341</xdr:row>
      <xdr:rowOff>0</xdr:rowOff>
    </xdr:from>
    <xdr:to>
      <xdr:col>15</xdr:col>
      <xdr:colOff>304800</xdr:colOff>
      <xdr:row>352</xdr:row>
      <xdr:rowOff>66675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F9384D6-15FC-47CB-8914-DB966F775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8</xdr:col>
      <xdr:colOff>0</xdr:colOff>
      <xdr:row>353</xdr:row>
      <xdr:rowOff>0</xdr:rowOff>
    </xdr:from>
    <xdr:to>
      <xdr:col>15</xdr:col>
      <xdr:colOff>304800</xdr:colOff>
      <xdr:row>364</xdr:row>
      <xdr:rowOff>66675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09B6E7E-DCB2-4E57-AEE1-17DC6C250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8</xdr:col>
      <xdr:colOff>0</xdr:colOff>
      <xdr:row>365</xdr:row>
      <xdr:rowOff>0</xdr:rowOff>
    </xdr:from>
    <xdr:to>
      <xdr:col>15</xdr:col>
      <xdr:colOff>304800</xdr:colOff>
      <xdr:row>376</xdr:row>
      <xdr:rowOff>66675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4B9E00A9-36FA-4116-A148-BB21CBA80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8</xdr:col>
      <xdr:colOff>0</xdr:colOff>
      <xdr:row>377</xdr:row>
      <xdr:rowOff>0</xdr:rowOff>
    </xdr:from>
    <xdr:to>
      <xdr:col>15</xdr:col>
      <xdr:colOff>304800</xdr:colOff>
      <xdr:row>388</xdr:row>
      <xdr:rowOff>66675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96FD59B4-DE6F-4BD0-BC79-7F6425564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8</xdr:col>
      <xdr:colOff>0</xdr:colOff>
      <xdr:row>389</xdr:row>
      <xdr:rowOff>0</xdr:rowOff>
    </xdr:from>
    <xdr:to>
      <xdr:col>15</xdr:col>
      <xdr:colOff>304800</xdr:colOff>
      <xdr:row>400</xdr:row>
      <xdr:rowOff>66675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9CBE2CC-BD5C-411E-8C93-13068C3E0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8</xdr:col>
      <xdr:colOff>0</xdr:colOff>
      <xdr:row>401</xdr:row>
      <xdr:rowOff>0</xdr:rowOff>
    </xdr:from>
    <xdr:to>
      <xdr:col>15</xdr:col>
      <xdr:colOff>304800</xdr:colOff>
      <xdr:row>412</xdr:row>
      <xdr:rowOff>66675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1E281912-BDF4-4BD2-9B1F-B93B5E2CD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0.56875</cdr:x>
      <cdr:y>0.39236</cdr:y>
    </cdr:from>
    <cdr:to>
      <cdr:x>0.56875</cdr:x>
      <cdr:y>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600340" y="926833"/>
          <a:ext cx="0" cy="143536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0.52084</cdr:x>
      <cdr:y>0.24854</cdr:y>
    </cdr:from>
    <cdr:to>
      <cdr:x>0.52084</cdr:x>
      <cdr:y>0.85618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381280" y="539745"/>
          <a:ext cx="0" cy="131961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0.33611</cdr:x>
      <cdr:y>0.23465</cdr:y>
    </cdr:from>
    <cdr:to>
      <cdr:x>0.51124</cdr:x>
      <cdr:y>0.33483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1536710" y="509595"/>
          <a:ext cx="800668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0.66459</cdr:x>
      <cdr:y>0.39157</cdr:y>
    </cdr:from>
    <cdr:to>
      <cdr:x>0.66459</cdr:x>
      <cdr:y>0.99921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3038505" y="924978"/>
          <a:ext cx="0" cy="143536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0.5132</cdr:x>
      <cdr:y>0.29973</cdr:y>
    </cdr:from>
    <cdr:to>
      <cdr:x>0.69969</cdr:x>
      <cdr:y>0.39184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346335" y="708033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3,8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0.61251</cdr:x>
      <cdr:y>0.31871</cdr:y>
    </cdr:from>
    <cdr:to>
      <cdr:x>0.61251</cdr:x>
      <cdr:y>0.92635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800380" y="692145"/>
          <a:ext cx="0" cy="131961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0.50278</cdr:x>
      <cdr:y>0.22588</cdr:y>
    </cdr:from>
    <cdr:to>
      <cdr:x>0.68928</cdr:x>
      <cdr:y>0.32606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298710" y="490545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3,6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0.55001</cdr:x>
      <cdr:y>0.30804</cdr:y>
    </cdr:from>
    <cdr:to>
      <cdr:x>0.55001</cdr:x>
      <cdr:y>0.91568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514630" y="786336"/>
          <a:ext cx="0" cy="155112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0.37361</cdr:x>
      <cdr:y>0.28421</cdr:y>
    </cdr:from>
    <cdr:to>
      <cdr:x>0.56011</cdr:x>
      <cdr:y>0.36943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1708160" y="725496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3,2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0.42917</cdr:x>
      <cdr:y>0.24415</cdr:y>
    </cdr:from>
    <cdr:to>
      <cdr:x>0.42917</cdr:x>
      <cdr:y>0.85179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1962180" y="530220"/>
          <a:ext cx="0" cy="131961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0.2507</cdr:x>
      <cdr:y>0.24342</cdr:y>
    </cdr:from>
    <cdr:to>
      <cdr:x>0.43719</cdr:x>
      <cdr:y>0.3436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1146185" y="528645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2,5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0.39584</cdr:x>
      <cdr:y>0.2827</cdr:y>
    </cdr:from>
    <cdr:to>
      <cdr:x>0.39584</cdr:x>
      <cdr:y>0.89034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1809780" y="667803"/>
          <a:ext cx="0" cy="143536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0.3882</cdr:x>
      <cdr:y>0.27151</cdr:y>
    </cdr:from>
    <cdr:to>
      <cdr:x>0.57469</cdr:x>
      <cdr:y>0.36361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1774835" y="641358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2,3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0.43126</cdr:x>
      <cdr:y>0.30058</cdr:y>
    </cdr:from>
    <cdr:to>
      <cdr:x>0.43126</cdr:x>
      <cdr:y>0.90822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1971705" y="767286"/>
          <a:ext cx="0" cy="155112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0.30486</cdr:x>
      <cdr:y>0.30286</cdr:y>
    </cdr:from>
    <cdr:to>
      <cdr:x>0.49136</cdr:x>
      <cdr:y>0.38809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1393835" y="773121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2,6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0.65626</cdr:x>
      <cdr:y>0.2948</cdr:y>
    </cdr:from>
    <cdr:to>
      <cdr:x>0.65626</cdr:x>
      <cdr:y>0.90244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3000405" y="696378"/>
          <a:ext cx="0" cy="143536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0.5257</cdr:x>
      <cdr:y>0.2957</cdr:y>
    </cdr:from>
    <cdr:to>
      <cdr:x>0.71219</cdr:x>
      <cdr:y>0.3878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403485" y="698508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3,8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0.72084</cdr:x>
      <cdr:y>0.26608</cdr:y>
    </cdr:from>
    <cdr:to>
      <cdr:x>0.72084</cdr:x>
      <cdr:y>0.87372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3295680" y="577845"/>
          <a:ext cx="0" cy="131961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0.59028</cdr:x>
      <cdr:y>0.23904</cdr:y>
    </cdr:from>
    <cdr:to>
      <cdr:x>0.77678</cdr:x>
      <cdr:y>0.33922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698760" y="519120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4,1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0.64376</cdr:x>
      <cdr:y>0.24088</cdr:y>
    </cdr:from>
    <cdr:to>
      <cdr:x>0.64376</cdr:x>
      <cdr:y>0.84852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943255" y="614886"/>
          <a:ext cx="0" cy="155112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0.51111</cdr:x>
      <cdr:y>0.27674</cdr:y>
    </cdr:from>
    <cdr:to>
      <cdr:x>0.69761</cdr:x>
      <cdr:y>0.36197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336810" y="706446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3,7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0.60417</cdr:x>
      <cdr:y>0.27778</cdr:y>
    </cdr:from>
    <cdr:to>
      <cdr:x>0.60417</cdr:x>
      <cdr:y>0.88542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762280" y="761994"/>
          <a:ext cx="0" cy="166687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0.46945</cdr:x>
      <cdr:y>0.26389</cdr:y>
    </cdr:from>
    <cdr:to>
      <cdr:x>0.65594</cdr:x>
      <cdr:y>0.3432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146310" y="723909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3,5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0.55001</cdr:x>
      <cdr:y>0.25287</cdr:y>
    </cdr:from>
    <cdr:to>
      <cdr:x>0.55001</cdr:x>
      <cdr:y>0.86051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514630" y="628644"/>
          <a:ext cx="0" cy="151060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0.36945</cdr:x>
      <cdr:y>0.34531</cdr:y>
    </cdr:from>
    <cdr:to>
      <cdr:x>0.55594</cdr:x>
      <cdr:y>0.43282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1689110" y="858449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3,2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0.60417</cdr:x>
      <cdr:y>0.22988</cdr:y>
    </cdr:from>
    <cdr:to>
      <cdr:x>0.60417</cdr:x>
      <cdr:y>0.83752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762280" y="571494"/>
          <a:ext cx="0" cy="151060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0.47153</cdr:x>
      <cdr:y>0.28401</cdr:y>
    </cdr:from>
    <cdr:to>
      <cdr:x>0.65803</cdr:x>
      <cdr:y>0.37152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155835" y="706049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3,5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0.66251</cdr:x>
      <cdr:y>0.31805</cdr:y>
    </cdr:from>
    <cdr:to>
      <cdr:x>0.66251</cdr:x>
      <cdr:y>0.92569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3028980" y="727070"/>
          <a:ext cx="0" cy="138906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0.52986</cdr:x>
      <cdr:y>0.3125</cdr:y>
    </cdr:from>
    <cdr:to>
      <cdr:x>0.71636</cdr:x>
      <cdr:y>0.40767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422535" y="714383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3,8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0.60001</cdr:x>
      <cdr:y>0.43055</cdr:y>
    </cdr:from>
    <cdr:to>
      <cdr:x>0.60208</cdr:x>
      <cdr:y>0.93333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743230" y="984245"/>
          <a:ext cx="9495" cy="114935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0.46945</cdr:x>
      <cdr:y>0.42084</cdr:y>
    </cdr:from>
    <cdr:to>
      <cdr:x>0.65594</cdr:x>
      <cdr:y>0.51601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146310" y="962033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3,5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0.65833</cdr:x>
      <cdr:y>0.3375</cdr:y>
    </cdr:from>
    <cdr:to>
      <cdr:x>0.65834</cdr:x>
      <cdr:y>0.87153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3009900" y="771525"/>
          <a:ext cx="30" cy="122078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0.5257</cdr:x>
      <cdr:y>0.33334</cdr:y>
    </cdr:from>
    <cdr:to>
      <cdr:x>0.71219</cdr:x>
      <cdr:y>0.42851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403485" y="762008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3,8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0.60001</cdr:x>
      <cdr:y>0.23472</cdr:y>
    </cdr:from>
    <cdr:to>
      <cdr:x>0.60001</cdr:x>
      <cdr:y>0.84236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743230" y="536570"/>
          <a:ext cx="0" cy="138906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0.46736</cdr:x>
      <cdr:y>0.2875</cdr:y>
    </cdr:from>
    <cdr:to>
      <cdr:x>0.65386</cdr:x>
      <cdr:y>0.38267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136785" y="657233"/>
          <a:ext cx="852669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3,5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0.475</cdr:x>
      <cdr:y>0.275</cdr:y>
    </cdr:from>
    <cdr:to>
      <cdr:x>0.47709</cdr:x>
      <cdr:y>0.84653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171700" y="628650"/>
          <a:ext cx="9555" cy="130651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0.34237</cdr:x>
      <cdr:y>0.2375</cdr:y>
    </cdr:from>
    <cdr:to>
      <cdr:x>0.52886</cdr:x>
      <cdr:y>0.33267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1565300" y="542933"/>
          <a:ext cx="852633" cy="2175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2,8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0.70208</cdr:x>
      <cdr:y>0.07917</cdr:y>
    </cdr:from>
    <cdr:to>
      <cdr:x>0.70209</cdr:x>
      <cdr:y>0.86736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3209925" y="180975"/>
          <a:ext cx="30" cy="180181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0.57153</cdr:x>
      <cdr:y>0.07501</cdr:y>
    </cdr:from>
    <cdr:to>
      <cdr:x>0.74086</cdr:x>
      <cdr:y>0.17018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613050" y="171465"/>
          <a:ext cx="774177" cy="21755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4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0.52708</cdr:x>
      <cdr:y>0.08621</cdr:y>
    </cdr:from>
    <cdr:to>
      <cdr:x>0.52917</cdr:x>
      <cdr:y>0.84914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 flipH="1">
          <a:off x="2409811" y="190500"/>
          <a:ext cx="9539" cy="168593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0.40069</cdr:x>
      <cdr:y>0.00287</cdr:y>
    </cdr:from>
    <cdr:to>
      <cdr:x>0.58719</cdr:x>
      <cdr:y>0.10133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1831970" y="6353"/>
          <a:ext cx="852678" cy="21755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3,1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0.56667</cdr:x>
      <cdr:y>0.06363</cdr:y>
    </cdr:from>
    <cdr:to>
      <cdr:x>0.56876</cdr:x>
      <cdr:y>0.90308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 flipH="1">
          <a:off x="2590800" y="137585"/>
          <a:ext cx="9571" cy="181504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0.4382</cdr:x>
      <cdr:y>0.06259</cdr:y>
    </cdr:from>
    <cdr:to>
      <cdr:x>0.62469</cdr:x>
      <cdr:y>0.16321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003450" y="135336"/>
          <a:ext cx="852633" cy="2175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3,3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0.65625</cdr:x>
      <cdr:y>0.07048</cdr:y>
    </cdr:from>
    <cdr:to>
      <cdr:x>0.66042</cdr:x>
      <cdr:y>0.87225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3000375" y="152400"/>
          <a:ext cx="19065" cy="173355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0.52361</cdr:x>
      <cdr:y>0.02294</cdr:y>
    </cdr:from>
    <cdr:to>
      <cdr:x>0.71011</cdr:x>
      <cdr:y>0.12357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393945" y="49608"/>
          <a:ext cx="852678" cy="21758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3,8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0.51876</cdr:x>
      <cdr:y>0.11013</cdr:y>
    </cdr:from>
    <cdr:to>
      <cdr:x>0.525</cdr:x>
      <cdr:y>0.83427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 flipH="1">
          <a:off x="2371771" y="238125"/>
          <a:ext cx="28529" cy="156571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0.37986</cdr:x>
      <cdr:y>0.02735</cdr:y>
    </cdr:from>
    <cdr:to>
      <cdr:x>0.55499</cdr:x>
      <cdr:y>0.12797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1736720" y="59143"/>
          <a:ext cx="800694" cy="2175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</a:t>
          </a:r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0.64376</cdr:x>
      <cdr:y>0.26187</cdr:y>
    </cdr:from>
    <cdr:to>
      <cdr:x>0.64376</cdr:x>
      <cdr:y>0.86951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943255" y="566204"/>
          <a:ext cx="0" cy="131382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0.46736</cdr:x>
      <cdr:y>0.23</cdr:y>
    </cdr:from>
    <cdr:to>
      <cdr:x>0.65386</cdr:x>
      <cdr:y>0.33062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136785" y="497297"/>
          <a:ext cx="852678" cy="2175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3,7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0.47083</cdr:x>
      <cdr:y>0.27753</cdr:y>
    </cdr:from>
    <cdr:to>
      <cdr:x>0.47084</cdr:x>
      <cdr:y>0.84308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152650" y="600075"/>
          <a:ext cx="30" cy="122281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0.43819</cdr:x>
      <cdr:y>0.17273</cdr:y>
    </cdr:from>
    <cdr:to>
      <cdr:x>0.62469</cdr:x>
      <cdr:y>0.27335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003420" y="373467"/>
          <a:ext cx="852678" cy="2175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2,8</a:t>
          </a: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0.61042</cdr:x>
      <cdr:y>0.10573</cdr:y>
    </cdr:from>
    <cdr:to>
      <cdr:x>0.61251</cdr:x>
      <cdr:y>0.82545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790825" y="228600"/>
          <a:ext cx="9555" cy="155616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0.47986</cdr:x>
      <cdr:y>0.03176</cdr:y>
    </cdr:from>
    <cdr:to>
      <cdr:x>0.66636</cdr:x>
      <cdr:y>0.13238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193935" y="68668"/>
          <a:ext cx="852678" cy="2175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3,6</a:t>
          </a:r>
        </a:p>
      </cdr:txBody>
    </cdr:sp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0.6</cdr:x>
      <cdr:y>0.13656</cdr:y>
    </cdr:from>
    <cdr:to>
      <cdr:x>0.60208</cdr:x>
      <cdr:y>0.81498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 flipH="1">
          <a:off x="2743200" y="295275"/>
          <a:ext cx="9525" cy="146685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0.47153</cdr:x>
      <cdr:y>0.05378</cdr:y>
    </cdr:from>
    <cdr:to>
      <cdr:x>0.65803</cdr:x>
      <cdr:y>0.1544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155835" y="116287"/>
          <a:ext cx="852678" cy="2175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3,5</a:t>
          </a:r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0.475</cdr:x>
      <cdr:y>0.10573</cdr:y>
    </cdr:from>
    <cdr:to>
      <cdr:x>0.47917</cdr:x>
      <cdr:y>0.88987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171700" y="228600"/>
          <a:ext cx="19050" cy="169545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0.34653</cdr:x>
      <cdr:y>0.02735</cdr:y>
    </cdr:from>
    <cdr:to>
      <cdr:x>0.53303</cdr:x>
      <cdr:y>0.12797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1584320" y="59139"/>
          <a:ext cx="852678" cy="2175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2,8</a:t>
          </a:r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0.62292</cdr:x>
      <cdr:y>0.0837</cdr:y>
    </cdr:from>
    <cdr:to>
      <cdr:x>0.62709</cdr:x>
      <cdr:y>0.84748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847975" y="180975"/>
          <a:ext cx="19080" cy="165142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0.48403</cdr:x>
      <cdr:y>0</cdr:y>
    </cdr:from>
    <cdr:to>
      <cdr:x>0.67052</cdr:x>
      <cdr:y>0.10062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213000" y="0"/>
          <a:ext cx="852633" cy="2175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3,6</a:t>
          </a: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0.56875</cdr:x>
      <cdr:y>0.26187</cdr:y>
    </cdr:from>
    <cdr:to>
      <cdr:x>0.56876</cdr:x>
      <cdr:y>0.78414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 flipH="1">
          <a:off x="2600325" y="566204"/>
          <a:ext cx="30" cy="112924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0.43612</cdr:x>
      <cdr:y>0.1551</cdr:y>
    </cdr:from>
    <cdr:to>
      <cdr:x>0.62261</cdr:x>
      <cdr:y>0.25572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1993925" y="335363"/>
          <a:ext cx="852633" cy="2175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3,3</a:t>
          </a: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0.58542</cdr:x>
      <cdr:y>0.163</cdr:y>
    </cdr:from>
    <cdr:to>
      <cdr:x>0.58542</cdr:x>
      <cdr:y>0.79021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676525" y="352425"/>
          <a:ext cx="15" cy="135614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0.44445</cdr:x>
      <cdr:y>0.04938</cdr:y>
    </cdr:from>
    <cdr:to>
      <cdr:x>0.63095</cdr:x>
      <cdr:y>0.14148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2032025" y="106758"/>
          <a:ext cx="852678" cy="19913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3,4</a:t>
          </a:r>
        </a:p>
      </cdr:txBody>
    </cdr: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0.51875</cdr:x>
      <cdr:y>0.12775</cdr:y>
    </cdr:from>
    <cdr:to>
      <cdr:x>0.51876</cdr:x>
      <cdr:y>0.8651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371725" y="276225"/>
          <a:ext cx="46" cy="159427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0.39861</cdr:x>
      <cdr:y>0.04497</cdr:y>
    </cdr:from>
    <cdr:to>
      <cdr:x>0.57374</cdr:x>
      <cdr:y>0.14559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1822445" y="97242"/>
          <a:ext cx="800694" cy="2175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3</a:t>
          </a:r>
        </a:p>
      </cdr:txBody>
    </cdr: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0.4375</cdr:x>
      <cdr:y>0.43172</cdr:y>
    </cdr:from>
    <cdr:to>
      <cdr:x>0.4375</cdr:x>
      <cdr:y>0.76211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BC7C480-554E-4A41-A9F5-3CE2456FB379}"/>
            </a:ext>
          </a:extLst>
        </cdr:cNvPr>
        <cdr:cNvCxnSpPr/>
      </cdr:nvCxnSpPr>
      <cdr:spPr>
        <a:xfrm xmlns:a="http://schemas.openxmlformats.org/drawingml/2006/main">
          <a:off x="2000250" y="933454"/>
          <a:ext cx="0" cy="71436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0.28403</cdr:x>
      <cdr:y>0.33573</cdr:y>
    </cdr:from>
    <cdr:to>
      <cdr:x>0.47053</cdr:x>
      <cdr:y>0.43635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603121-098C-4CE0-A8F5-29CF21312E9C}"/>
            </a:ext>
          </a:extLst>
        </cdr:cNvPr>
        <cdr:cNvSpPr txBox="1"/>
      </cdr:nvSpPr>
      <cdr:spPr>
        <a:xfrm xmlns:a="http://schemas.openxmlformats.org/drawingml/2006/main">
          <a:off x="1298570" y="725898"/>
          <a:ext cx="852678" cy="2175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solidFill>
                <a:srgbClr val="FF0000"/>
              </a:solidFill>
            </a:rPr>
            <a:t>Promedio =  2,6</a:t>
          </a: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603249</xdr:colOff>
      <xdr:row>1</xdr:row>
      <xdr:rowOff>190502</xdr:rowOff>
    </xdr:from>
    <xdr:to>
      <xdr:col>19</xdr:col>
      <xdr:colOff>206375</xdr:colOff>
      <xdr:row>11</xdr:row>
      <xdr:rowOff>47626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5FE9BE-C5A4-40F6-94A8-535FBF2F1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421819</xdr:colOff>
      <xdr:row>1</xdr:row>
      <xdr:rowOff>95250</xdr:rowOff>
    </xdr:from>
    <xdr:to>
      <xdr:col>16</xdr:col>
      <xdr:colOff>421819</xdr:colOff>
      <xdr:row>10</xdr:row>
      <xdr:rowOff>254000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3F9E7B4-622B-42F9-8D89-373EB7EEFFCF}"/>
            </a:ext>
          </a:extLst>
        </xdr:cNvPr>
        <xdr:cNvCxnSpPr/>
      </xdr:nvCxnSpPr>
      <xdr:spPr>
        <a:xfrm>
          <a:off x="15457712" y="748393"/>
          <a:ext cx="0" cy="6037036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120648</xdr:colOff>
      <xdr:row>1</xdr:row>
      <xdr:rowOff>152400</xdr:rowOff>
    </xdr:from>
    <xdr:to>
      <xdr:col>18</xdr:col>
      <xdr:colOff>120648</xdr:colOff>
      <xdr:row>10</xdr:row>
      <xdr:rowOff>311150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C4AB622-0879-4B71-B1C4-56BC689C3725}"/>
            </a:ext>
          </a:extLst>
        </xdr:cNvPr>
        <xdr:cNvCxnSpPr/>
      </xdr:nvCxnSpPr>
      <xdr:spPr>
        <a:xfrm>
          <a:off x="16381184" y="805543"/>
          <a:ext cx="0" cy="6037036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129265</xdr:colOff>
      <xdr:row>1</xdr:row>
      <xdr:rowOff>79376</xdr:rowOff>
    </xdr:from>
    <xdr:to>
      <xdr:col>19</xdr:col>
      <xdr:colOff>476250</xdr:colOff>
      <xdr:row>11</xdr:row>
      <xdr:rowOff>47626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D7E5E20-0EEA-49B2-8060-BCCE472A112B}"/>
            </a:ext>
          </a:extLst>
        </xdr:cNvPr>
        <xdr:cNvSpPr/>
      </xdr:nvSpPr>
      <xdr:spPr>
        <a:xfrm>
          <a:off x="16389801" y="732519"/>
          <a:ext cx="959306" cy="6499678"/>
        </a:xfrm>
        <a:prstGeom prst="rect">
          <a:avLst/>
        </a:prstGeom>
        <a:solidFill>
          <a:schemeClr val="accent4">
            <a:lumMod val="20000"/>
            <a:lumOff val="80000"/>
            <a:alpha val="1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</xdr:row>
      <xdr:rowOff>6351</xdr:rowOff>
    </xdr:from>
    <xdr:to>
      <xdr:col>19</xdr:col>
      <xdr:colOff>206376</xdr:colOff>
      <xdr:row>22</xdr:row>
      <xdr:rowOff>111125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B37DFF2-8808-4C68-9EF5-EC3ED06AE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428625</xdr:colOff>
      <xdr:row>13</xdr:row>
      <xdr:rowOff>561975</xdr:rowOff>
    </xdr:from>
    <xdr:to>
      <xdr:col>16</xdr:col>
      <xdr:colOff>428626</xdr:colOff>
      <xdr:row>22</xdr:row>
      <xdr:rowOff>158750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B873A7F-0C6C-4A3E-B348-670BAE39F1E9}"/>
            </a:ext>
          </a:extLst>
        </xdr:cNvPr>
        <xdr:cNvCxnSpPr/>
      </xdr:nvCxnSpPr>
      <xdr:spPr>
        <a:xfrm flipH="1">
          <a:off x="15335250" y="9023350"/>
          <a:ext cx="1" cy="54546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120651</xdr:colOff>
      <xdr:row>13</xdr:row>
      <xdr:rowOff>523875</xdr:rowOff>
    </xdr:from>
    <xdr:to>
      <xdr:col>18</xdr:col>
      <xdr:colOff>131885</xdr:colOff>
      <xdr:row>21</xdr:row>
      <xdr:rowOff>652096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8B80125-9254-4CEE-B2D0-15BDC60A0E63}"/>
            </a:ext>
          </a:extLst>
        </xdr:cNvPr>
        <xdr:cNvCxnSpPr/>
      </xdr:nvCxnSpPr>
      <xdr:spPr>
        <a:xfrm>
          <a:off x="16313151" y="9096375"/>
          <a:ext cx="11234" cy="5403606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134324</xdr:colOff>
      <xdr:row>14</xdr:row>
      <xdr:rowOff>12212</xdr:rowOff>
    </xdr:from>
    <xdr:to>
      <xdr:col>19</xdr:col>
      <xdr:colOff>356574</xdr:colOff>
      <xdr:row>22</xdr:row>
      <xdr:rowOff>163635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68F0517-0595-475A-BA77-7AC3BDF7717F}"/>
            </a:ext>
          </a:extLst>
        </xdr:cNvPr>
        <xdr:cNvSpPr/>
      </xdr:nvSpPr>
      <xdr:spPr>
        <a:xfrm>
          <a:off x="16326824" y="9244135"/>
          <a:ext cx="830385" cy="5426808"/>
        </a:xfrm>
        <a:prstGeom prst="rect">
          <a:avLst/>
        </a:prstGeom>
        <a:solidFill>
          <a:schemeClr val="accent4">
            <a:lumMod val="20000"/>
            <a:lumOff val="80000"/>
            <a:alpha val="1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390525</xdr:colOff>
      <xdr:row>14</xdr:row>
      <xdr:rowOff>63500</xdr:rowOff>
    </xdr:from>
    <xdr:to>
      <xdr:col>17</xdr:col>
      <xdr:colOff>390526</xdr:colOff>
      <xdr:row>22</xdr:row>
      <xdr:rowOff>311150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A086F82A-84CA-46EC-A756-835F4B4969C4}"/>
            </a:ext>
          </a:extLst>
        </xdr:cNvPr>
        <xdr:cNvCxnSpPr/>
      </xdr:nvCxnSpPr>
      <xdr:spPr>
        <a:xfrm flipH="1">
          <a:off x="15900400" y="9175750"/>
          <a:ext cx="1" cy="5454650"/>
        </a:xfrm>
        <a:prstGeom prst="line">
          <a:avLst/>
        </a:prstGeom>
        <a:ln w="28575">
          <a:prstDash val="dash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492125</xdr:colOff>
      <xdr:row>13</xdr:row>
      <xdr:rowOff>420803</xdr:rowOff>
    </xdr:from>
    <xdr:ext cx="1462071" cy="280205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CBA6979-A310-4494-AF6D-3220CC2D5FFA}"/>
            </a:ext>
          </a:extLst>
        </xdr:cNvPr>
        <xdr:cNvSpPr txBox="1"/>
      </xdr:nvSpPr>
      <xdr:spPr>
        <a:xfrm>
          <a:off x="14795500" y="8882178"/>
          <a:ext cx="146207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200">
              <a:solidFill>
                <a:srgbClr val="FF0000"/>
              </a:solidFill>
            </a:rPr>
            <a:t>Promedio =  3,6</a:t>
          </a:r>
        </a:p>
      </xdr:txBody>
    </xdr:sp>
    <xdr:clientData/>
  </xdr:oneCellAnchor>
  <xdr:twoCellAnchor>
    <xdr:from>
      <xdr:col>5</xdr:col>
      <xdr:colOff>0</xdr:colOff>
      <xdr:row>26</xdr:row>
      <xdr:rowOff>6351</xdr:rowOff>
    </xdr:from>
    <xdr:to>
      <xdr:col>19</xdr:col>
      <xdr:colOff>238125</xdr:colOff>
      <xdr:row>34</xdr:row>
      <xdr:rowOff>111125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5882228-4B58-4DDA-BCC3-055BE4760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396875</xdr:colOff>
      <xdr:row>25</xdr:row>
      <xdr:rowOff>635000</xdr:rowOff>
    </xdr:from>
    <xdr:to>
      <xdr:col>19</xdr:col>
      <xdr:colOff>34636</xdr:colOff>
      <xdr:row>34</xdr:row>
      <xdr:rowOff>127000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13BC52A-7354-41D8-ADF4-4ACEC18E5EC9}"/>
            </a:ext>
          </a:extLst>
        </xdr:cNvPr>
        <xdr:cNvSpPr/>
      </xdr:nvSpPr>
      <xdr:spPr>
        <a:xfrm>
          <a:off x="15948602" y="17087273"/>
          <a:ext cx="850034" cy="5414818"/>
        </a:xfrm>
        <a:prstGeom prst="rect">
          <a:avLst/>
        </a:prstGeom>
        <a:solidFill>
          <a:schemeClr val="accent4">
            <a:lumMod val="20000"/>
            <a:lumOff val="80000"/>
            <a:alpha val="1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457992</xdr:colOff>
      <xdr:row>26</xdr:row>
      <xdr:rowOff>63500</xdr:rowOff>
    </xdr:from>
    <xdr:to>
      <xdr:col>16</xdr:col>
      <xdr:colOff>457993</xdr:colOff>
      <xdr:row>34</xdr:row>
      <xdr:rowOff>311150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57998E0-2398-4E74-8550-867058563F7F}"/>
            </a:ext>
          </a:extLst>
        </xdr:cNvPr>
        <xdr:cNvCxnSpPr/>
      </xdr:nvCxnSpPr>
      <xdr:spPr>
        <a:xfrm flipH="1">
          <a:off x="15412242" y="17089438"/>
          <a:ext cx="1" cy="5486400"/>
        </a:xfrm>
        <a:prstGeom prst="line">
          <a:avLst/>
        </a:prstGeom>
        <a:ln w="28575">
          <a:prstDash val="dash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15</xdr:col>
      <xdr:colOff>269875</xdr:colOff>
      <xdr:row>25</xdr:row>
      <xdr:rowOff>420803</xdr:rowOff>
    </xdr:from>
    <xdr:ext cx="1462071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B065081-FD07-4465-A464-8D811C03CE10}"/>
            </a:ext>
          </a:extLst>
        </xdr:cNvPr>
        <xdr:cNvSpPr txBox="1"/>
      </xdr:nvSpPr>
      <xdr:spPr>
        <a:xfrm>
          <a:off x="14573250" y="16692678"/>
          <a:ext cx="146207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200">
              <a:solidFill>
                <a:srgbClr val="FF0000"/>
              </a:solidFill>
            </a:rPr>
            <a:t>Promedio =  3,3</a:t>
          </a:r>
        </a:p>
      </xdr:txBody>
    </xdr:sp>
    <xdr:clientData/>
  </xdr:oneCellAnchor>
  <xdr:twoCellAnchor>
    <xdr:from>
      <xdr:col>5</xdr:col>
      <xdr:colOff>0</xdr:colOff>
      <xdr:row>38</xdr:row>
      <xdr:rowOff>6351</xdr:rowOff>
    </xdr:from>
    <xdr:to>
      <xdr:col>19</xdr:col>
      <xdr:colOff>238125</xdr:colOff>
      <xdr:row>46</xdr:row>
      <xdr:rowOff>111125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4008784-66A1-41EB-B265-006E21E2C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12</xdr:col>
      <xdr:colOff>111126</xdr:colOff>
      <xdr:row>37</xdr:row>
      <xdr:rowOff>38099</xdr:rowOff>
    </xdr:from>
    <xdr:ext cx="2492374" cy="46807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BF417FA-7718-4685-A750-4CD853AE80F0}"/>
            </a:ext>
          </a:extLst>
        </xdr:cNvPr>
        <xdr:cNvSpPr txBox="1"/>
      </xdr:nvSpPr>
      <xdr:spPr>
        <a:xfrm>
          <a:off x="12697733" y="24204385"/>
          <a:ext cx="2492374" cy="46807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635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200"/>
            <a:t>DESEMPEÑO</a:t>
          </a:r>
        </a:p>
        <a:p>
          <a:pPr algn="ctr"/>
          <a:r>
            <a:rPr lang="en-US" sz="1200"/>
            <a:t>SUBSTANDARD</a:t>
          </a:r>
        </a:p>
      </xdr:txBody>
    </xdr:sp>
    <xdr:clientData/>
  </xdr:oneCellAnchor>
  <xdr:oneCellAnchor>
    <xdr:from>
      <xdr:col>17</xdr:col>
      <xdr:colOff>381002</xdr:colOff>
      <xdr:row>37</xdr:row>
      <xdr:rowOff>42181</xdr:rowOff>
    </xdr:from>
    <xdr:ext cx="898070" cy="46672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F455A4A-2B61-49C4-9C4F-C06852D6A0E3}"/>
            </a:ext>
          </a:extLst>
        </xdr:cNvPr>
        <xdr:cNvSpPr txBox="1"/>
      </xdr:nvSpPr>
      <xdr:spPr>
        <a:xfrm>
          <a:off x="16029216" y="24208467"/>
          <a:ext cx="898070" cy="4667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US" sz="500"/>
        </a:p>
        <a:p>
          <a:pPr algn="ctr"/>
          <a:r>
            <a:rPr lang="en-US" sz="1200"/>
            <a:t>ALTO</a:t>
          </a:r>
        </a:p>
        <a:p>
          <a:pPr algn="ctr"/>
          <a:endParaRPr lang="en-US" sz="700"/>
        </a:p>
      </xdr:txBody>
    </xdr:sp>
    <xdr:clientData/>
  </xdr:oneCellAnchor>
  <xdr:oneCellAnchor>
    <xdr:from>
      <xdr:col>16</xdr:col>
      <xdr:colOff>165101</xdr:colOff>
      <xdr:row>37</xdr:row>
      <xdr:rowOff>45357</xdr:rowOff>
    </xdr:from>
    <xdr:ext cx="880819" cy="463549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F3604CE-D2C5-4796-8978-96014C7087A4}"/>
            </a:ext>
          </a:extLst>
        </xdr:cNvPr>
        <xdr:cNvSpPr txBox="1"/>
      </xdr:nvSpPr>
      <xdr:spPr>
        <a:xfrm>
          <a:off x="15200994" y="24211643"/>
          <a:ext cx="880819" cy="46354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635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STANDARD</a:t>
          </a:r>
        </a:p>
      </xdr:txBody>
    </xdr:sp>
    <xdr:clientData/>
  </xdr:oneCellAnchor>
  <xdr:twoCellAnchor>
    <xdr:from>
      <xdr:col>17</xdr:col>
      <xdr:colOff>428625</xdr:colOff>
      <xdr:row>37</xdr:row>
      <xdr:rowOff>635000</xdr:rowOff>
    </xdr:from>
    <xdr:to>
      <xdr:col>19</xdr:col>
      <xdr:colOff>40822</xdr:colOff>
      <xdr:row>46</xdr:row>
      <xdr:rowOff>127000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9B678E8-A4FB-4FF3-A997-AB6C46878079}"/>
            </a:ext>
          </a:extLst>
        </xdr:cNvPr>
        <xdr:cNvSpPr/>
      </xdr:nvSpPr>
      <xdr:spPr>
        <a:xfrm>
          <a:off x="16076839" y="24801286"/>
          <a:ext cx="836840" cy="5370285"/>
        </a:xfrm>
        <a:prstGeom prst="rect">
          <a:avLst/>
        </a:prstGeom>
        <a:solidFill>
          <a:schemeClr val="accent4">
            <a:lumMod val="20000"/>
            <a:lumOff val="80000"/>
            <a:alpha val="1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349707</xdr:colOff>
      <xdr:row>38</xdr:row>
      <xdr:rowOff>63500</xdr:rowOff>
    </xdr:from>
    <xdr:to>
      <xdr:col>16</xdr:col>
      <xdr:colOff>349708</xdr:colOff>
      <xdr:row>46</xdr:row>
      <xdr:rowOff>311150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266D45C-39EC-49EE-87CE-C2BF1DBFE1E6}"/>
            </a:ext>
          </a:extLst>
        </xdr:cNvPr>
        <xdr:cNvCxnSpPr/>
      </xdr:nvCxnSpPr>
      <xdr:spPr>
        <a:xfrm flipH="1">
          <a:off x="15385600" y="24882929"/>
          <a:ext cx="1" cy="5472792"/>
        </a:xfrm>
        <a:prstGeom prst="line">
          <a:avLst/>
        </a:prstGeom>
        <a:ln w="28575">
          <a:prstDash val="dash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14</xdr:col>
      <xdr:colOff>405950</xdr:colOff>
      <xdr:row>37</xdr:row>
      <xdr:rowOff>543266</xdr:rowOff>
    </xdr:from>
    <xdr:ext cx="1462071" cy="280205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67E8D4C-385A-4033-8ADD-924300DA4504}"/>
            </a:ext>
          </a:extLst>
        </xdr:cNvPr>
        <xdr:cNvSpPr txBox="1"/>
      </xdr:nvSpPr>
      <xdr:spPr>
        <a:xfrm>
          <a:off x="14217200" y="24709552"/>
          <a:ext cx="1462071" cy="280205"/>
        </a:xfrm>
        <a:prstGeom prst="rect">
          <a:avLst/>
        </a:prstGeom>
        <a:solidFill>
          <a:srgbClr val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200">
              <a:solidFill>
                <a:srgbClr val="FF0000"/>
              </a:solidFill>
            </a:rPr>
            <a:t>Promedio =  3,2</a:t>
          </a:r>
        </a:p>
      </xdr:txBody>
    </xdr:sp>
    <xdr:clientData/>
  </xdr:oneCellAnchor>
  <xdr:twoCellAnchor>
    <xdr:from>
      <xdr:col>16</xdr:col>
      <xdr:colOff>508455</xdr:colOff>
      <xdr:row>1</xdr:row>
      <xdr:rowOff>198322</xdr:rowOff>
    </xdr:from>
    <xdr:to>
      <xdr:col>16</xdr:col>
      <xdr:colOff>530678</xdr:colOff>
      <xdr:row>11</xdr:row>
      <xdr:rowOff>530679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AD65C3E9-F97B-47E4-9068-D5B8DB158962}"/>
            </a:ext>
          </a:extLst>
        </xdr:cNvPr>
        <xdr:cNvCxnSpPr/>
      </xdr:nvCxnSpPr>
      <xdr:spPr>
        <a:xfrm>
          <a:off x="15544348" y="851465"/>
          <a:ext cx="22223" cy="6863785"/>
        </a:xfrm>
        <a:prstGeom prst="line">
          <a:avLst/>
        </a:prstGeom>
        <a:ln w="28575">
          <a:prstDash val="dash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15</xdr:col>
      <xdr:colOff>6805</xdr:colOff>
      <xdr:row>0</xdr:row>
      <xdr:rowOff>555625</xdr:rowOff>
    </xdr:from>
    <xdr:ext cx="1462071" cy="280205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FBBC068-DC0C-4822-BD51-C7E15A4B7DD0}"/>
            </a:ext>
          </a:extLst>
        </xdr:cNvPr>
        <xdr:cNvSpPr txBox="1"/>
      </xdr:nvSpPr>
      <xdr:spPr>
        <a:xfrm>
          <a:off x="14430376" y="555625"/>
          <a:ext cx="146207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200">
              <a:solidFill>
                <a:srgbClr val="FF0000"/>
              </a:solidFill>
            </a:rPr>
            <a:t>Promedio =  3,1</a:t>
          </a:r>
        </a:p>
      </xdr:txBody>
    </xdr:sp>
    <xdr:clientData/>
  </xdr:oneCellAnchor>
  <xdr:twoCellAnchor>
    <xdr:from>
      <xdr:col>16</xdr:col>
      <xdr:colOff>222250</xdr:colOff>
      <xdr:row>25</xdr:row>
      <xdr:rowOff>127000</xdr:rowOff>
    </xdr:from>
    <xdr:to>
      <xdr:col>16</xdr:col>
      <xdr:colOff>222250</xdr:colOff>
      <xdr:row>34</xdr:row>
      <xdr:rowOff>285750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B158781D-B142-4CA7-B378-8B801761589E}"/>
            </a:ext>
          </a:extLst>
        </xdr:cNvPr>
        <xdr:cNvCxnSpPr/>
      </xdr:nvCxnSpPr>
      <xdr:spPr>
        <a:xfrm>
          <a:off x="13541375" y="16398875"/>
          <a:ext cx="0" cy="60166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179161</xdr:colOff>
      <xdr:row>37</xdr:row>
      <xdr:rowOff>428625</xdr:rowOff>
    </xdr:from>
    <xdr:to>
      <xdr:col>16</xdr:col>
      <xdr:colOff>179161</xdr:colOff>
      <xdr:row>46</xdr:row>
      <xdr:rowOff>587375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659A97AA-6D73-4C56-A4A4-06D8611B534C}"/>
            </a:ext>
          </a:extLst>
        </xdr:cNvPr>
        <xdr:cNvCxnSpPr/>
      </xdr:nvCxnSpPr>
      <xdr:spPr>
        <a:xfrm>
          <a:off x="15215054" y="24594911"/>
          <a:ext cx="0" cy="603703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142875</xdr:colOff>
      <xdr:row>25</xdr:row>
      <xdr:rowOff>27214</xdr:rowOff>
    </xdr:from>
    <xdr:ext cx="2537732" cy="460819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8C2C2A6-F1F7-49E2-A5F6-8F8BC41C6A55}"/>
            </a:ext>
          </a:extLst>
        </xdr:cNvPr>
        <xdr:cNvSpPr txBox="1"/>
      </xdr:nvSpPr>
      <xdr:spPr>
        <a:xfrm>
          <a:off x="12729482" y="16355785"/>
          <a:ext cx="2537732" cy="46081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635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200"/>
            <a:t>DESEMPEÑO SUBSTANDARD</a:t>
          </a:r>
        </a:p>
      </xdr:txBody>
    </xdr:sp>
    <xdr:clientData/>
  </xdr:oneCellAnchor>
  <xdr:oneCellAnchor>
    <xdr:from>
      <xdr:col>17</xdr:col>
      <xdr:colOff>398319</xdr:colOff>
      <xdr:row>25</xdr:row>
      <xdr:rowOff>29481</xdr:rowOff>
    </xdr:from>
    <xdr:ext cx="839932" cy="454773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12FB78D-E48F-4CAB-AB6D-E9FFFF35BEEE}"/>
            </a:ext>
          </a:extLst>
        </xdr:cNvPr>
        <xdr:cNvSpPr txBox="1"/>
      </xdr:nvSpPr>
      <xdr:spPr>
        <a:xfrm>
          <a:off x="16046533" y="16358052"/>
          <a:ext cx="839932" cy="45477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200"/>
            <a:t>ALTO</a:t>
          </a:r>
        </a:p>
      </xdr:txBody>
    </xdr:sp>
    <xdr:clientData/>
  </xdr:oneCellAnchor>
  <xdr:oneCellAnchor>
    <xdr:from>
      <xdr:col>16</xdr:col>
      <xdr:colOff>222704</xdr:colOff>
      <xdr:row>25</xdr:row>
      <xdr:rowOff>24813</xdr:rowOff>
    </xdr:from>
    <xdr:ext cx="770618" cy="465044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9126446-0964-41D6-ADCB-F588A2D00322}"/>
            </a:ext>
          </a:extLst>
        </xdr:cNvPr>
        <xdr:cNvSpPr txBox="1"/>
      </xdr:nvSpPr>
      <xdr:spPr>
        <a:xfrm>
          <a:off x="15258597" y="16353384"/>
          <a:ext cx="770618" cy="46504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635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STANDARD</a:t>
          </a:r>
        </a:p>
      </xdr:txBody>
    </xdr:sp>
    <xdr:clientData/>
  </xdr:oneCellAnchor>
  <xdr:oneCellAnchor>
    <xdr:from>
      <xdr:col>12</xdr:col>
      <xdr:colOff>63500</xdr:colOff>
      <xdr:row>0</xdr:row>
      <xdr:rowOff>76200</xdr:rowOff>
    </xdr:from>
    <xdr:ext cx="2821214" cy="477601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87F36B2-A0F3-4950-B309-EC89FE9D3D1F}"/>
            </a:ext>
          </a:extLst>
        </xdr:cNvPr>
        <xdr:cNvSpPr txBox="1"/>
      </xdr:nvSpPr>
      <xdr:spPr>
        <a:xfrm>
          <a:off x="12617450" y="76200"/>
          <a:ext cx="2821214" cy="4776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200"/>
            <a:t>DESEMPEÑO</a:t>
          </a:r>
        </a:p>
        <a:p>
          <a:pPr algn="ctr"/>
          <a:r>
            <a:rPr lang="en-US" sz="1200"/>
            <a:t>SUBSTANDARD</a:t>
          </a:r>
        </a:p>
      </xdr:txBody>
    </xdr:sp>
    <xdr:clientData/>
  </xdr:oneCellAnchor>
  <xdr:oneCellAnchor>
    <xdr:from>
      <xdr:col>18</xdr:col>
      <xdr:colOff>6800</xdr:colOff>
      <xdr:row>0</xdr:row>
      <xdr:rowOff>76201</xdr:rowOff>
    </xdr:from>
    <xdr:ext cx="1092969" cy="476249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D09979E-7241-4C6D-889E-52E9B38ACAA9}"/>
            </a:ext>
          </a:extLst>
        </xdr:cNvPr>
        <xdr:cNvSpPr txBox="1"/>
      </xdr:nvSpPr>
      <xdr:spPr>
        <a:xfrm>
          <a:off x="16218350" y="76201"/>
          <a:ext cx="1092969" cy="47624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200"/>
            <a:t>ALTO</a:t>
          </a:r>
        </a:p>
      </xdr:txBody>
    </xdr:sp>
    <xdr:clientData/>
  </xdr:oneCellAnchor>
  <xdr:oneCellAnchor>
    <xdr:from>
      <xdr:col>16</xdr:col>
      <xdr:colOff>429075</xdr:colOff>
      <xdr:row>0</xdr:row>
      <xdr:rowOff>79375</xdr:rowOff>
    </xdr:from>
    <xdr:ext cx="880819" cy="478518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3674145-24B4-4B23-BA6E-46F59CF8143F}"/>
            </a:ext>
          </a:extLst>
        </xdr:cNvPr>
        <xdr:cNvSpPr txBox="1"/>
      </xdr:nvSpPr>
      <xdr:spPr>
        <a:xfrm>
          <a:off x="15464968" y="79375"/>
          <a:ext cx="880819" cy="47851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635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STANDARD</a:t>
          </a:r>
        </a:p>
      </xdr:txBody>
    </xdr:sp>
    <xdr:clientData/>
  </xdr:oneCellAnchor>
  <xdr:oneCellAnchor>
    <xdr:from>
      <xdr:col>12</xdr:col>
      <xdr:colOff>111124</xdr:colOff>
      <xdr:row>13</xdr:row>
      <xdr:rowOff>29306</xdr:rowOff>
    </xdr:from>
    <xdr:ext cx="2746376" cy="460993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79CC282-EDD0-4982-8C0E-DA9F0E2E31BE}"/>
            </a:ext>
          </a:extLst>
        </xdr:cNvPr>
        <xdr:cNvSpPr txBox="1"/>
      </xdr:nvSpPr>
      <xdr:spPr>
        <a:xfrm>
          <a:off x="12697731" y="8520163"/>
          <a:ext cx="2746376" cy="46099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317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200"/>
            <a:t>DESEMPEÑO</a:t>
          </a:r>
        </a:p>
        <a:p>
          <a:pPr algn="ctr"/>
          <a:r>
            <a:rPr lang="en-US" sz="1200"/>
            <a:t>SUBSTANDARD</a:t>
          </a:r>
        </a:p>
      </xdr:txBody>
    </xdr:sp>
    <xdr:clientData/>
  </xdr:oneCellAnchor>
  <xdr:oneCellAnchor>
    <xdr:from>
      <xdr:col>17</xdr:col>
      <xdr:colOff>586154</xdr:colOff>
      <xdr:row>13</xdr:row>
      <xdr:rowOff>29306</xdr:rowOff>
    </xdr:from>
    <xdr:ext cx="982669" cy="463191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B9E1187-9B7A-4163-B2A7-ACFD8D91FB19}"/>
            </a:ext>
          </a:extLst>
        </xdr:cNvPr>
        <xdr:cNvSpPr txBox="1"/>
      </xdr:nvSpPr>
      <xdr:spPr>
        <a:xfrm>
          <a:off x="16234368" y="8520163"/>
          <a:ext cx="982669" cy="46319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200"/>
            <a:t>ALTO</a:t>
          </a:r>
        </a:p>
      </xdr:txBody>
    </xdr:sp>
    <xdr:clientData/>
  </xdr:oneCellAnchor>
  <xdr:oneCellAnchor>
    <xdr:from>
      <xdr:col>16</xdr:col>
      <xdr:colOff>440018</xdr:colOff>
      <xdr:row>13</xdr:row>
      <xdr:rowOff>29305</xdr:rowOff>
    </xdr:from>
    <xdr:ext cx="880819" cy="46281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9BBBD7A-4A2C-45E2-A3C0-DEA85053EA50}"/>
            </a:ext>
          </a:extLst>
        </xdr:cNvPr>
        <xdr:cNvSpPr txBox="1"/>
      </xdr:nvSpPr>
      <xdr:spPr>
        <a:xfrm>
          <a:off x="15475911" y="8520162"/>
          <a:ext cx="880819" cy="46281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317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STANDARD</a:t>
          </a:r>
        </a:p>
      </xdr:txBody>
    </xdr:sp>
    <xdr:clientData/>
  </xdr:oneCellAnchor>
  <xdr:twoCellAnchor>
    <xdr:from>
      <xdr:col>17</xdr:col>
      <xdr:colOff>426814</xdr:colOff>
      <xdr:row>37</xdr:row>
      <xdr:rowOff>417741</xdr:rowOff>
    </xdr:from>
    <xdr:to>
      <xdr:col>17</xdr:col>
      <xdr:colOff>426814</xdr:colOff>
      <xdr:row>46</xdr:row>
      <xdr:rowOff>576491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5A5339F-8717-450E-8999-0ED27DAA0F6F}"/>
            </a:ext>
          </a:extLst>
        </xdr:cNvPr>
        <xdr:cNvCxnSpPr/>
      </xdr:nvCxnSpPr>
      <xdr:spPr>
        <a:xfrm>
          <a:off x="16075028" y="24584027"/>
          <a:ext cx="0" cy="603703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C1F8-A35A-4EA5-A95F-7211BF6DF486}">
  <dimension ref="B1:U40"/>
  <sheetViews>
    <sheetView topLeftCell="C1" workbookViewId="0">
      <selection activeCell="P2" sqref="P2:T2"/>
    </sheetView>
  </sheetViews>
  <sheetFormatPr defaultRowHeight="15" x14ac:dyDescent="0.25"/>
  <cols>
    <col min="2" max="2" width="72.7109375" customWidth="1"/>
    <col min="3" max="14" width="3.140625" customWidth="1"/>
    <col min="15" max="15" width="11.85546875" customWidth="1"/>
    <col min="16" max="17" width="13.140625" customWidth="1"/>
    <col min="18" max="18" width="14.5703125" customWidth="1"/>
    <col min="19" max="20" width="13.140625" customWidth="1"/>
  </cols>
  <sheetData>
    <row r="1" spans="2:21" ht="15.75" thickBot="1" x14ac:dyDescent="0.3">
      <c r="P1" s="58" t="s">
        <v>85</v>
      </c>
      <c r="Q1" s="59"/>
      <c r="R1" s="59"/>
      <c r="S1" s="59"/>
      <c r="T1" s="60"/>
    </row>
    <row r="2" spans="2:21" ht="45.75" thickBot="1" x14ac:dyDescent="0.3">
      <c r="B2" s="40" t="s">
        <v>86</v>
      </c>
      <c r="C2" s="39" t="s">
        <v>72</v>
      </c>
      <c r="D2" s="39" t="s">
        <v>73</v>
      </c>
      <c r="E2" s="39" t="s">
        <v>74</v>
      </c>
      <c r="F2" s="39" t="s">
        <v>75</v>
      </c>
      <c r="G2" s="39" t="s">
        <v>76</v>
      </c>
      <c r="H2" s="39" t="s">
        <v>77</v>
      </c>
      <c r="I2" s="39" t="s">
        <v>78</v>
      </c>
      <c r="J2" s="39" t="s">
        <v>79</v>
      </c>
      <c r="K2" s="39" t="s">
        <v>80</v>
      </c>
      <c r="L2" s="39" t="s">
        <v>81</v>
      </c>
      <c r="M2" s="39" t="s">
        <v>82</v>
      </c>
      <c r="N2" s="39" t="s">
        <v>83</v>
      </c>
      <c r="O2" s="39" t="s">
        <v>41</v>
      </c>
      <c r="P2" s="36" t="s">
        <v>87</v>
      </c>
      <c r="Q2" s="37" t="s">
        <v>88</v>
      </c>
      <c r="R2" s="37" t="s">
        <v>91</v>
      </c>
      <c r="S2" s="37" t="s">
        <v>90</v>
      </c>
      <c r="T2" s="38" t="s">
        <v>89</v>
      </c>
      <c r="U2" s="41" t="s">
        <v>84</v>
      </c>
    </row>
    <row r="3" spans="2:21" ht="26.25" thickBot="1" x14ac:dyDescent="0.3">
      <c r="B3" s="24" t="s">
        <v>43</v>
      </c>
      <c r="C3">
        <v>3</v>
      </c>
      <c r="D3">
        <v>2</v>
      </c>
      <c r="E3">
        <v>4</v>
      </c>
      <c r="F3">
        <v>3</v>
      </c>
      <c r="G3">
        <v>4</v>
      </c>
      <c r="H3">
        <v>3</v>
      </c>
      <c r="I3">
        <v>3</v>
      </c>
      <c r="J3">
        <v>3</v>
      </c>
      <c r="K3">
        <v>3</v>
      </c>
      <c r="L3">
        <v>4</v>
      </c>
      <c r="M3">
        <v>4</v>
      </c>
      <c r="O3" s="43">
        <f>AVERAGE(C3:M3)</f>
        <v>3.2727272727272729</v>
      </c>
      <c r="P3" s="31">
        <f>COUNTIF($C3:$N3,1)</f>
        <v>0</v>
      </c>
      <c r="Q3" s="30">
        <f>COUNTIF($C3:$N3,2)</f>
        <v>1</v>
      </c>
      <c r="R3" s="30">
        <f>COUNTIF($C3:$N3,3)</f>
        <v>6</v>
      </c>
      <c r="S3" s="30">
        <f>COUNTIF($C3:$N3,4)</f>
        <v>4</v>
      </c>
      <c r="T3" s="32">
        <f>COUNTIF($C3:$N3,5)</f>
        <v>0</v>
      </c>
      <c r="U3">
        <f>SUM(P3:T3)</f>
        <v>11</v>
      </c>
    </row>
    <row r="4" spans="2:21" ht="26.25" thickBot="1" x14ac:dyDescent="0.3">
      <c r="B4" s="25" t="s">
        <v>44</v>
      </c>
      <c r="C4">
        <v>2</v>
      </c>
      <c r="D4">
        <v>2</v>
      </c>
      <c r="E4">
        <v>3</v>
      </c>
      <c r="F4">
        <v>3</v>
      </c>
      <c r="G4">
        <v>4</v>
      </c>
      <c r="H4">
        <v>2</v>
      </c>
      <c r="I4">
        <v>4</v>
      </c>
      <c r="J4">
        <v>4</v>
      </c>
      <c r="K4">
        <v>3</v>
      </c>
      <c r="L4">
        <v>3</v>
      </c>
      <c r="M4">
        <v>3</v>
      </c>
      <c r="O4" s="43">
        <f t="shared" ref="O4:O39" si="0">AVERAGE(C4:M4)</f>
        <v>3</v>
      </c>
      <c r="P4" s="31">
        <f t="shared" ref="P4:P39" si="1">COUNTIF($C4:$N4,1)</f>
        <v>0</v>
      </c>
      <c r="Q4" s="30">
        <f t="shared" ref="Q4:Q39" si="2">COUNTIF($C4:$N4,2)</f>
        <v>3</v>
      </c>
      <c r="R4" s="30">
        <f t="shared" ref="R4:R39" si="3">COUNTIF($C4:$N4,3)</f>
        <v>5</v>
      </c>
      <c r="S4" s="30">
        <f t="shared" ref="S4:S39" si="4">COUNTIF($C4:$N4,4)</f>
        <v>3</v>
      </c>
      <c r="T4" s="32">
        <f t="shared" ref="T4:T39" si="5">COUNTIF($C4:$N4,5)</f>
        <v>0</v>
      </c>
      <c r="U4">
        <f t="shared" ref="U4:U40" si="6">SUM(P4:T4)</f>
        <v>11</v>
      </c>
    </row>
    <row r="5" spans="2:21" ht="26.25" thickBot="1" x14ac:dyDescent="0.3">
      <c r="B5" s="25" t="s">
        <v>45</v>
      </c>
      <c r="C5">
        <v>3</v>
      </c>
      <c r="D5">
        <v>3</v>
      </c>
      <c r="E5">
        <v>4</v>
      </c>
      <c r="F5">
        <v>5</v>
      </c>
      <c r="G5">
        <v>4</v>
      </c>
      <c r="H5">
        <v>3</v>
      </c>
      <c r="I5">
        <v>4</v>
      </c>
      <c r="J5">
        <v>4</v>
      </c>
      <c r="K5">
        <v>3</v>
      </c>
      <c r="L5">
        <v>4</v>
      </c>
      <c r="M5">
        <v>5</v>
      </c>
      <c r="O5" s="43">
        <f t="shared" si="0"/>
        <v>3.8181818181818183</v>
      </c>
      <c r="P5" s="31">
        <f t="shared" si="1"/>
        <v>0</v>
      </c>
      <c r="Q5" s="30">
        <f t="shared" si="2"/>
        <v>0</v>
      </c>
      <c r="R5" s="30">
        <f t="shared" si="3"/>
        <v>4</v>
      </c>
      <c r="S5" s="30">
        <f t="shared" si="4"/>
        <v>5</v>
      </c>
      <c r="T5" s="32">
        <f t="shared" si="5"/>
        <v>2</v>
      </c>
      <c r="U5">
        <f t="shared" si="6"/>
        <v>11</v>
      </c>
    </row>
    <row r="6" spans="2:21" ht="15.75" thickBot="1" x14ac:dyDescent="0.3">
      <c r="B6" s="25" t="s">
        <v>46</v>
      </c>
      <c r="C6">
        <v>3</v>
      </c>
      <c r="D6">
        <v>4</v>
      </c>
      <c r="E6">
        <v>4</v>
      </c>
      <c r="F6">
        <v>4</v>
      </c>
      <c r="G6">
        <v>3</v>
      </c>
      <c r="H6">
        <v>3</v>
      </c>
      <c r="I6">
        <v>3</v>
      </c>
      <c r="J6">
        <v>4</v>
      </c>
      <c r="K6">
        <v>4</v>
      </c>
      <c r="L6">
        <v>3</v>
      </c>
      <c r="M6">
        <v>5</v>
      </c>
      <c r="O6" s="43">
        <f t="shared" si="0"/>
        <v>3.6363636363636362</v>
      </c>
      <c r="P6" s="31">
        <f t="shared" si="1"/>
        <v>0</v>
      </c>
      <c r="Q6" s="30">
        <f t="shared" si="2"/>
        <v>0</v>
      </c>
      <c r="R6" s="30">
        <f t="shared" si="3"/>
        <v>5</v>
      </c>
      <c r="S6" s="30">
        <f t="shared" si="4"/>
        <v>5</v>
      </c>
      <c r="T6" s="32">
        <f t="shared" si="5"/>
        <v>1</v>
      </c>
      <c r="U6">
        <f t="shared" si="6"/>
        <v>11</v>
      </c>
    </row>
    <row r="7" spans="2:21" ht="26.25" thickBot="1" x14ac:dyDescent="0.3">
      <c r="B7" s="25" t="s">
        <v>47</v>
      </c>
      <c r="C7">
        <v>3</v>
      </c>
      <c r="D7">
        <v>4</v>
      </c>
      <c r="E7">
        <v>4</v>
      </c>
      <c r="F7">
        <v>4</v>
      </c>
      <c r="G7">
        <v>3</v>
      </c>
      <c r="H7">
        <v>4</v>
      </c>
      <c r="I7">
        <v>2</v>
      </c>
      <c r="J7">
        <v>3</v>
      </c>
      <c r="K7">
        <v>2</v>
      </c>
      <c r="L7">
        <v>2</v>
      </c>
      <c r="M7">
        <v>4</v>
      </c>
      <c r="O7" s="43">
        <f t="shared" si="0"/>
        <v>3.1818181818181817</v>
      </c>
      <c r="P7" s="31">
        <f t="shared" si="1"/>
        <v>0</v>
      </c>
      <c r="Q7" s="30">
        <f t="shared" si="2"/>
        <v>3</v>
      </c>
      <c r="R7" s="30">
        <f t="shared" si="3"/>
        <v>3</v>
      </c>
      <c r="S7" s="30">
        <f t="shared" si="4"/>
        <v>5</v>
      </c>
      <c r="T7" s="32">
        <f t="shared" si="5"/>
        <v>0</v>
      </c>
      <c r="U7">
        <f t="shared" si="6"/>
        <v>11</v>
      </c>
    </row>
    <row r="8" spans="2:21" ht="15.75" thickBot="1" x14ac:dyDescent="0.3">
      <c r="B8" s="25" t="s">
        <v>48</v>
      </c>
      <c r="C8">
        <v>1</v>
      </c>
      <c r="D8">
        <v>4</v>
      </c>
      <c r="E8">
        <v>2</v>
      </c>
      <c r="F8">
        <v>3</v>
      </c>
      <c r="G8">
        <v>2</v>
      </c>
      <c r="H8">
        <v>2</v>
      </c>
      <c r="I8">
        <v>1</v>
      </c>
      <c r="J8">
        <v>3</v>
      </c>
      <c r="K8">
        <v>2</v>
      </c>
      <c r="L8">
        <v>3</v>
      </c>
      <c r="M8">
        <v>4</v>
      </c>
      <c r="O8" s="43">
        <f t="shared" si="0"/>
        <v>2.4545454545454546</v>
      </c>
      <c r="P8" s="31">
        <f t="shared" si="1"/>
        <v>2</v>
      </c>
      <c r="Q8" s="30">
        <f t="shared" si="2"/>
        <v>4</v>
      </c>
      <c r="R8" s="30">
        <f t="shared" si="3"/>
        <v>3</v>
      </c>
      <c r="S8" s="30">
        <f t="shared" si="4"/>
        <v>2</v>
      </c>
      <c r="T8" s="32">
        <f t="shared" si="5"/>
        <v>0</v>
      </c>
      <c r="U8">
        <f t="shared" si="6"/>
        <v>11</v>
      </c>
    </row>
    <row r="9" spans="2:21" ht="26.25" thickBot="1" x14ac:dyDescent="0.3">
      <c r="B9" s="25" t="s">
        <v>49</v>
      </c>
      <c r="C9">
        <v>3</v>
      </c>
      <c r="D9">
        <v>2</v>
      </c>
      <c r="E9">
        <v>3</v>
      </c>
      <c r="F9">
        <v>2</v>
      </c>
      <c r="G9">
        <v>2</v>
      </c>
      <c r="H9">
        <v>2</v>
      </c>
      <c r="I9">
        <v>2</v>
      </c>
      <c r="J9">
        <v>3</v>
      </c>
      <c r="K9">
        <v>2</v>
      </c>
      <c r="L9">
        <v>2</v>
      </c>
      <c r="M9">
        <v>2</v>
      </c>
      <c r="O9" s="43">
        <f t="shared" si="0"/>
        <v>2.2727272727272729</v>
      </c>
      <c r="P9" s="31">
        <f t="shared" si="1"/>
        <v>0</v>
      </c>
      <c r="Q9" s="30">
        <f t="shared" si="2"/>
        <v>8</v>
      </c>
      <c r="R9" s="30">
        <f t="shared" si="3"/>
        <v>3</v>
      </c>
      <c r="S9" s="30">
        <f t="shared" si="4"/>
        <v>0</v>
      </c>
      <c r="T9" s="32">
        <f t="shared" si="5"/>
        <v>0</v>
      </c>
      <c r="U9">
        <f t="shared" si="6"/>
        <v>11</v>
      </c>
    </row>
    <row r="10" spans="2:21" ht="26.25" thickBot="1" x14ac:dyDescent="0.3">
      <c r="B10" s="25" t="s">
        <v>50</v>
      </c>
      <c r="C10">
        <v>2</v>
      </c>
      <c r="D10">
        <v>2</v>
      </c>
      <c r="E10">
        <v>3</v>
      </c>
      <c r="F10">
        <v>3</v>
      </c>
      <c r="G10">
        <v>3</v>
      </c>
      <c r="H10">
        <v>3</v>
      </c>
      <c r="I10">
        <v>2</v>
      </c>
      <c r="J10">
        <v>4</v>
      </c>
      <c r="K10">
        <v>2</v>
      </c>
      <c r="L10">
        <v>3</v>
      </c>
      <c r="M10">
        <v>2</v>
      </c>
      <c r="O10" s="43">
        <f t="shared" si="0"/>
        <v>2.6363636363636362</v>
      </c>
      <c r="P10" s="31">
        <f t="shared" si="1"/>
        <v>0</v>
      </c>
      <c r="Q10" s="30">
        <f t="shared" si="2"/>
        <v>5</v>
      </c>
      <c r="R10" s="30">
        <f t="shared" si="3"/>
        <v>5</v>
      </c>
      <c r="S10" s="30">
        <f t="shared" si="4"/>
        <v>1</v>
      </c>
      <c r="T10" s="32">
        <f t="shared" si="5"/>
        <v>0</v>
      </c>
      <c r="U10">
        <f t="shared" si="6"/>
        <v>11</v>
      </c>
    </row>
    <row r="11" spans="2:21" ht="26.25" thickBot="1" x14ac:dyDescent="0.3">
      <c r="B11" s="25" t="s">
        <v>51</v>
      </c>
      <c r="C11">
        <v>4</v>
      </c>
      <c r="D11">
        <v>3</v>
      </c>
      <c r="E11">
        <v>4</v>
      </c>
      <c r="F11">
        <v>5</v>
      </c>
      <c r="G11">
        <v>3</v>
      </c>
      <c r="H11">
        <v>5</v>
      </c>
      <c r="I11">
        <v>3</v>
      </c>
      <c r="J11">
        <v>4</v>
      </c>
      <c r="K11">
        <v>3</v>
      </c>
      <c r="L11">
        <v>4</v>
      </c>
      <c r="M11">
        <v>4</v>
      </c>
      <c r="O11" s="43">
        <f t="shared" si="0"/>
        <v>3.8181818181818183</v>
      </c>
      <c r="P11" s="31">
        <f t="shared" si="1"/>
        <v>0</v>
      </c>
      <c r="Q11" s="30">
        <f t="shared" si="2"/>
        <v>0</v>
      </c>
      <c r="R11" s="30">
        <f t="shared" si="3"/>
        <v>4</v>
      </c>
      <c r="S11" s="30">
        <f t="shared" si="4"/>
        <v>5</v>
      </c>
      <c r="T11" s="32">
        <f t="shared" si="5"/>
        <v>2</v>
      </c>
      <c r="U11">
        <f t="shared" si="6"/>
        <v>11</v>
      </c>
    </row>
    <row r="12" spans="2:21" ht="15.75" thickBot="1" x14ac:dyDescent="0.3">
      <c r="B12" s="26" t="s">
        <v>52</v>
      </c>
      <c r="O12" s="43"/>
      <c r="P12" s="31">
        <f t="shared" si="1"/>
        <v>0</v>
      </c>
      <c r="Q12" s="30">
        <f t="shared" si="2"/>
        <v>0</v>
      </c>
      <c r="R12" s="30">
        <f t="shared" si="3"/>
        <v>0</v>
      </c>
      <c r="S12" s="30">
        <f t="shared" si="4"/>
        <v>0</v>
      </c>
      <c r="T12" s="32">
        <f t="shared" si="5"/>
        <v>0</v>
      </c>
      <c r="U12">
        <f t="shared" si="6"/>
        <v>0</v>
      </c>
    </row>
    <row r="13" spans="2:21" ht="15.75" thickBot="1" x14ac:dyDescent="0.3">
      <c r="B13" s="25" t="s">
        <v>53</v>
      </c>
      <c r="C13">
        <v>4</v>
      </c>
      <c r="D13">
        <v>5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3</v>
      </c>
      <c r="L13">
        <v>4</v>
      </c>
      <c r="M13">
        <v>5</v>
      </c>
      <c r="O13" s="43">
        <f t="shared" si="0"/>
        <v>4.0909090909090908</v>
      </c>
      <c r="P13" s="31">
        <f t="shared" si="1"/>
        <v>0</v>
      </c>
      <c r="Q13" s="30">
        <f t="shared" si="2"/>
        <v>0</v>
      </c>
      <c r="R13" s="30">
        <f t="shared" si="3"/>
        <v>1</v>
      </c>
      <c r="S13" s="30">
        <f t="shared" si="4"/>
        <v>8</v>
      </c>
      <c r="T13" s="32">
        <f t="shared" si="5"/>
        <v>2</v>
      </c>
      <c r="U13">
        <f t="shared" si="6"/>
        <v>11</v>
      </c>
    </row>
    <row r="14" spans="2:21" ht="26.25" thickBot="1" x14ac:dyDescent="0.3">
      <c r="B14" s="25" t="s">
        <v>54</v>
      </c>
      <c r="C14">
        <v>3</v>
      </c>
      <c r="D14">
        <v>4</v>
      </c>
      <c r="E14">
        <v>4</v>
      </c>
      <c r="F14">
        <v>5</v>
      </c>
      <c r="G14">
        <v>4</v>
      </c>
      <c r="H14">
        <v>4</v>
      </c>
      <c r="I14">
        <v>4</v>
      </c>
      <c r="J14">
        <v>4</v>
      </c>
      <c r="K14">
        <v>3</v>
      </c>
      <c r="L14">
        <v>2</v>
      </c>
      <c r="M14">
        <v>4</v>
      </c>
      <c r="O14" s="43">
        <f t="shared" si="0"/>
        <v>3.7272727272727271</v>
      </c>
      <c r="P14" s="31">
        <f t="shared" si="1"/>
        <v>0</v>
      </c>
      <c r="Q14" s="30">
        <f t="shared" si="2"/>
        <v>1</v>
      </c>
      <c r="R14" s="30">
        <f t="shared" si="3"/>
        <v>2</v>
      </c>
      <c r="S14" s="30">
        <f t="shared" si="4"/>
        <v>7</v>
      </c>
      <c r="T14" s="32">
        <f t="shared" si="5"/>
        <v>1</v>
      </c>
      <c r="U14">
        <f t="shared" si="6"/>
        <v>11</v>
      </c>
    </row>
    <row r="15" spans="2:21" ht="26.25" thickBot="1" x14ac:dyDescent="0.3">
      <c r="B15" s="25" t="s">
        <v>55</v>
      </c>
      <c r="C15">
        <v>3</v>
      </c>
      <c r="D15">
        <v>3</v>
      </c>
      <c r="E15">
        <v>3</v>
      </c>
      <c r="F15">
        <v>5</v>
      </c>
      <c r="G15">
        <v>3</v>
      </c>
      <c r="H15">
        <v>4</v>
      </c>
      <c r="I15">
        <v>4</v>
      </c>
      <c r="J15">
        <v>4</v>
      </c>
      <c r="K15">
        <v>3</v>
      </c>
      <c r="L15">
        <v>3</v>
      </c>
      <c r="M15">
        <v>4</v>
      </c>
      <c r="O15" s="43">
        <f t="shared" si="0"/>
        <v>3.5454545454545454</v>
      </c>
      <c r="P15" s="31">
        <f t="shared" si="1"/>
        <v>0</v>
      </c>
      <c r="Q15" s="30">
        <f t="shared" si="2"/>
        <v>0</v>
      </c>
      <c r="R15" s="30">
        <f t="shared" si="3"/>
        <v>6</v>
      </c>
      <c r="S15" s="30">
        <f t="shared" si="4"/>
        <v>4</v>
      </c>
      <c r="T15" s="32">
        <f t="shared" si="5"/>
        <v>1</v>
      </c>
      <c r="U15">
        <f t="shared" si="6"/>
        <v>11</v>
      </c>
    </row>
    <row r="16" spans="2:21" ht="26.25" thickBot="1" x14ac:dyDescent="0.3">
      <c r="B16" s="25" t="s">
        <v>56</v>
      </c>
      <c r="C16">
        <v>3</v>
      </c>
      <c r="D16">
        <v>2</v>
      </c>
      <c r="E16">
        <v>4</v>
      </c>
      <c r="F16">
        <v>4</v>
      </c>
      <c r="G16">
        <v>4</v>
      </c>
      <c r="H16">
        <v>4</v>
      </c>
      <c r="I16">
        <v>2</v>
      </c>
      <c r="J16">
        <v>3</v>
      </c>
      <c r="K16">
        <v>2</v>
      </c>
      <c r="L16">
        <v>3</v>
      </c>
      <c r="M16">
        <v>4</v>
      </c>
      <c r="O16" s="43">
        <f t="shared" si="0"/>
        <v>3.1818181818181817</v>
      </c>
      <c r="P16" s="31">
        <f t="shared" si="1"/>
        <v>0</v>
      </c>
      <c r="Q16" s="30">
        <f t="shared" si="2"/>
        <v>3</v>
      </c>
      <c r="R16" s="30">
        <f t="shared" si="3"/>
        <v>3</v>
      </c>
      <c r="S16" s="30">
        <f t="shared" si="4"/>
        <v>5</v>
      </c>
      <c r="T16" s="32">
        <f t="shared" si="5"/>
        <v>0</v>
      </c>
      <c r="U16">
        <f t="shared" si="6"/>
        <v>11</v>
      </c>
    </row>
    <row r="17" spans="2:21" ht="26.25" thickBot="1" x14ac:dyDescent="0.3">
      <c r="B17" s="25" t="s">
        <v>57</v>
      </c>
      <c r="C17">
        <v>3</v>
      </c>
      <c r="D17">
        <v>3</v>
      </c>
      <c r="E17">
        <v>4</v>
      </c>
      <c r="F17">
        <v>5</v>
      </c>
      <c r="G17">
        <v>4</v>
      </c>
      <c r="H17">
        <v>3</v>
      </c>
      <c r="I17">
        <v>3</v>
      </c>
      <c r="J17">
        <v>3</v>
      </c>
      <c r="K17">
        <v>3</v>
      </c>
      <c r="L17">
        <v>4</v>
      </c>
      <c r="M17">
        <v>4</v>
      </c>
      <c r="O17" s="43">
        <f t="shared" si="0"/>
        <v>3.5454545454545454</v>
      </c>
      <c r="P17" s="31">
        <f t="shared" si="1"/>
        <v>0</v>
      </c>
      <c r="Q17" s="30">
        <f t="shared" si="2"/>
        <v>0</v>
      </c>
      <c r="R17" s="30">
        <f t="shared" si="3"/>
        <v>6</v>
      </c>
      <c r="S17" s="30">
        <f t="shared" si="4"/>
        <v>4</v>
      </c>
      <c r="T17" s="32">
        <f t="shared" si="5"/>
        <v>1</v>
      </c>
      <c r="U17">
        <f t="shared" si="6"/>
        <v>11</v>
      </c>
    </row>
    <row r="18" spans="2:21" ht="26.25" thickBot="1" x14ac:dyDescent="0.3">
      <c r="B18" s="25" t="s">
        <v>58</v>
      </c>
      <c r="C18">
        <v>4</v>
      </c>
      <c r="D18">
        <v>3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3</v>
      </c>
      <c r="L18">
        <v>4</v>
      </c>
      <c r="M18">
        <v>4</v>
      </c>
      <c r="O18" s="43">
        <f t="shared" si="0"/>
        <v>3.8181818181818183</v>
      </c>
      <c r="P18" s="31">
        <f t="shared" si="1"/>
        <v>0</v>
      </c>
      <c r="Q18" s="30">
        <f t="shared" si="2"/>
        <v>0</v>
      </c>
      <c r="R18" s="30">
        <f t="shared" si="3"/>
        <v>2</v>
      </c>
      <c r="S18" s="30">
        <f t="shared" si="4"/>
        <v>9</v>
      </c>
      <c r="T18" s="32">
        <f t="shared" si="5"/>
        <v>0</v>
      </c>
      <c r="U18">
        <f t="shared" si="6"/>
        <v>11</v>
      </c>
    </row>
    <row r="19" spans="2:21" ht="26.25" thickBot="1" x14ac:dyDescent="0.3">
      <c r="B19" s="25" t="s">
        <v>59</v>
      </c>
      <c r="C19">
        <v>2</v>
      </c>
      <c r="D19">
        <v>3</v>
      </c>
      <c r="E19">
        <v>3</v>
      </c>
      <c r="F19">
        <v>5</v>
      </c>
      <c r="G19">
        <v>4</v>
      </c>
      <c r="H19">
        <v>4</v>
      </c>
      <c r="I19">
        <v>3</v>
      </c>
      <c r="J19">
        <v>4</v>
      </c>
      <c r="K19">
        <v>3</v>
      </c>
      <c r="L19">
        <v>4</v>
      </c>
      <c r="M19">
        <v>3</v>
      </c>
      <c r="O19" s="43">
        <f t="shared" si="0"/>
        <v>3.4545454545454546</v>
      </c>
      <c r="P19" s="31">
        <f t="shared" si="1"/>
        <v>0</v>
      </c>
      <c r="Q19" s="30">
        <f t="shared" si="2"/>
        <v>1</v>
      </c>
      <c r="R19" s="30">
        <f t="shared" si="3"/>
        <v>5</v>
      </c>
      <c r="S19" s="30">
        <f t="shared" si="4"/>
        <v>4</v>
      </c>
      <c r="T19" s="32">
        <f t="shared" si="5"/>
        <v>1</v>
      </c>
      <c r="U19">
        <f t="shared" si="6"/>
        <v>11</v>
      </c>
    </row>
    <row r="20" spans="2:21" ht="26.25" thickBot="1" x14ac:dyDescent="0.3">
      <c r="B20" s="25" t="s">
        <v>60</v>
      </c>
      <c r="C20">
        <v>3</v>
      </c>
      <c r="D20">
        <v>4</v>
      </c>
      <c r="E20">
        <v>4</v>
      </c>
      <c r="F20">
        <v>5</v>
      </c>
      <c r="G20">
        <v>5</v>
      </c>
      <c r="H20">
        <v>4</v>
      </c>
      <c r="I20">
        <v>4</v>
      </c>
      <c r="J20">
        <v>4</v>
      </c>
      <c r="K20">
        <v>2</v>
      </c>
      <c r="L20">
        <v>4</v>
      </c>
      <c r="M20">
        <v>3</v>
      </c>
      <c r="O20" s="43">
        <f t="shared" si="0"/>
        <v>3.8181818181818183</v>
      </c>
      <c r="P20" s="31">
        <f t="shared" si="1"/>
        <v>0</v>
      </c>
      <c r="Q20" s="30">
        <f t="shared" si="2"/>
        <v>1</v>
      </c>
      <c r="R20" s="30">
        <f t="shared" si="3"/>
        <v>2</v>
      </c>
      <c r="S20" s="30">
        <f t="shared" si="4"/>
        <v>6</v>
      </c>
      <c r="T20" s="32">
        <f t="shared" si="5"/>
        <v>2</v>
      </c>
      <c r="U20">
        <f t="shared" si="6"/>
        <v>11</v>
      </c>
    </row>
    <row r="21" spans="2:21" ht="15.75" thickBot="1" x14ac:dyDescent="0.3">
      <c r="B21" s="27" t="s">
        <v>61</v>
      </c>
      <c r="O21" s="43"/>
      <c r="P21" s="31">
        <f t="shared" si="1"/>
        <v>0</v>
      </c>
      <c r="Q21" s="30">
        <f t="shared" si="2"/>
        <v>0</v>
      </c>
      <c r="R21" s="30">
        <f t="shared" si="3"/>
        <v>0</v>
      </c>
      <c r="S21" s="30">
        <f t="shared" si="4"/>
        <v>0</v>
      </c>
      <c r="T21" s="32">
        <f t="shared" si="5"/>
        <v>0</v>
      </c>
      <c r="U21">
        <f t="shared" si="6"/>
        <v>0</v>
      </c>
    </row>
    <row r="22" spans="2:21" ht="26.25" thickBot="1" x14ac:dyDescent="0.3">
      <c r="B22" s="28" t="s">
        <v>62</v>
      </c>
      <c r="C22">
        <v>4</v>
      </c>
      <c r="D22">
        <v>2</v>
      </c>
      <c r="E22">
        <v>4</v>
      </c>
      <c r="F22">
        <v>5</v>
      </c>
      <c r="G22">
        <v>4</v>
      </c>
      <c r="H22">
        <v>4</v>
      </c>
      <c r="I22">
        <v>3</v>
      </c>
      <c r="J22">
        <v>4</v>
      </c>
      <c r="K22">
        <v>2</v>
      </c>
      <c r="L22">
        <v>4</v>
      </c>
      <c r="M22">
        <v>3</v>
      </c>
      <c r="O22" s="43">
        <f t="shared" si="0"/>
        <v>3.5454545454545454</v>
      </c>
      <c r="P22" s="31">
        <f t="shared" si="1"/>
        <v>0</v>
      </c>
      <c r="Q22" s="30">
        <f t="shared" si="2"/>
        <v>2</v>
      </c>
      <c r="R22" s="30">
        <f t="shared" si="3"/>
        <v>2</v>
      </c>
      <c r="S22" s="30">
        <f t="shared" si="4"/>
        <v>6</v>
      </c>
      <c r="T22" s="32">
        <f t="shared" si="5"/>
        <v>1</v>
      </c>
      <c r="U22">
        <f t="shared" si="6"/>
        <v>11</v>
      </c>
    </row>
    <row r="23" spans="2:21" ht="15.75" thickBot="1" x14ac:dyDescent="0.3">
      <c r="B23" s="28" t="s">
        <v>63</v>
      </c>
      <c r="C23">
        <v>4</v>
      </c>
      <c r="D23">
        <v>1</v>
      </c>
      <c r="E23">
        <v>3</v>
      </c>
      <c r="F23">
        <v>4</v>
      </c>
      <c r="G23">
        <v>3</v>
      </c>
      <c r="H23">
        <v>3</v>
      </c>
      <c r="I23">
        <v>1</v>
      </c>
      <c r="J23">
        <v>3</v>
      </c>
      <c r="K23">
        <v>2</v>
      </c>
      <c r="L23">
        <v>3</v>
      </c>
      <c r="M23">
        <v>4</v>
      </c>
      <c r="O23" s="43">
        <f t="shared" si="0"/>
        <v>2.8181818181818183</v>
      </c>
      <c r="P23" s="31">
        <f t="shared" si="1"/>
        <v>2</v>
      </c>
      <c r="Q23" s="30">
        <f t="shared" si="2"/>
        <v>1</v>
      </c>
      <c r="R23" s="30">
        <f t="shared" si="3"/>
        <v>5</v>
      </c>
      <c r="S23" s="30">
        <f t="shared" si="4"/>
        <v>3</v>
      </c>
      <c r="T23" s="32">
        <f t="shared" si="5"/>
        <v>0</v>
      </c>
      <c r="U23">
        <f t="shared" si="6"/>
        <v>11</v>
      </c>
    </row>
    <row r="24" spans="2:21" ht="26.25" thickBot="1" x14ac:dyDescent="0.3">
      <c r="B24" s="28" t="s">
        <v>64</v>
      </c>
      <c r="C24">
        <v>5</v>
      </c>
      <c r="D24">
        <v>3</v>
      </c>
      <c r="E24">
        <v>4</v>
      </c>
      <c r="F24">
        <v>5</v>
      </c>
      <c r="G24">
        <v>4</v>
      </c>
      <c r="H24">
        <v>5</v>
      </c>
      <c r="I24">
        <v>3</v>
      </c>
      <c r="J24">
        <v>4</v>
      </c>
      <c r="K24">
        <v>3</v>
      </c>
      <c r="L24">
        <v>4</v>
      </c>
      <c r="M24">
        <v>4</v>
      </c>
      <c r="O24" s="43">
        <f t="shared" si="0"/>
        <v>4</v>
      </c>
      <c r="P24" s="31">
        <f t="shared" si="1"/>
        <v>0</v>
      </c>
      <c r="Q24" s="30">
        <f t="shared" si="2"/>
        <v>0</v>
      </c>
      <c r="R24" s="30">
        <f t="shared" si="3"/>
        <v>3</v>
      </c>
      <c r="S24" s="30">
        <f t="shared" si="4"/>
        <v>5</v>
      </c>
      <c r="T24" s="32">
        <f t="shared" si="5"/>
        <v>3</v>
      </c>
      <c r="U24">
        <f t="shared" si="6"/>
        <v>11</v>
      </c>
    </row>
    <row r="25" spans="2:21" ht="26.25" thickBot="1" x14ac:dyDescent="0.3">
      <c r="B25" s="28" t="s">
        <v>65</v>
      </c>
      <c r="C25">
        <v>3</v>
      </c>
      <c r="D25">
        <v>1</v>
      </c>
      <c r="E25">
        <v>3</v>
      </c>
      <c r="F25">
        <v>3</v>
      </c>
      <c r="G25">
        <v>3</v>
      </c>
      <c r="H25">
        <v>4</v>
      </c>
      <c r="I25">
        <v>3</v>
      </c>
      <c r="J25">
        <v>4</v>
      </c>
      <c r="K25">
        <v>3</v>
      </c>
      <c r="L25">
        <v>3</v>
      </c>
      <c r="M25">
        <v>4</v>
      </c>
      <c r="O25" s="43">
        <f t="shared" si="0"/>
        <v>3.0909090909090908</v>
      </c>
      <c r="P25" s="31">
        <f t="shared" si="1"/>
        <v>1</v>
      </c>
      <c r="Q25" s="30">
        <f t="shared" si="2"/>
        <v>0</v>
      </c>
      <c r="R25" s="30">
        <f t="shared" si="3"/>
        <v>7</v>
      </c>
      <c r="S25" s="30">
        <f t="shared" si="4"/>
        <v>3</v>
      </c>
      <c r="T25" s="32">
        <f t="shared" si="5"/>
        <v>0</v>
      </c>
      <c r="U25">
        <f t="shared" si="6"/>
        <v>11</v>
      </c>
    </row>
    <row r="26" spans="2:21" ht="26.25" thickBot="1" x14ac:dyDescent="0.3">
      <c r="B26" s="28" t="s">
        <v>66</v>
      </c>
      <c r="C26">
        <v>4</v>
      </c>
      <c r="D26">
        <v>2</v>
      </c>
      <c r="E26">
        <v>4</v>
      </c>
      <c r="F26">
        <v>4</v>
      </c>
      <c r="G26">
        <v>3</v>
      </c>
      <c r="H26">
        <v>3</v>
      </c>
      <c r="I26">
        <v>3</v>
      </c>
      <c r="J26">
        <v>4</v>
      </c>
      <c r="K26">
        <v>3</v>
      </c>
      <c r="L26">
        <v>3</v>
      </c>
      <c r="M26">
        <v>3</v>
      </c>
      <c r="O26" s="43">
        <f t="shared" si="0"/>
        <v>3.2727272727272729</v>
      </c>
      <c r="P26" s="31">
        <f t="shared" si="1"/>
        <v>0</v>
      </c>
      <c r="Q26" s="30">
        <f t="shared" si="2"/>
        <v>1</v>
      </c>
      <c r="R26" s="30">
        <f t="shared" si="3"/>
        <v>6</v>
      </c>
      <c r="S26" s="30">
        <f t="shared" si="4"/>
        <v>4</v>
      </c>
      <c r="T26" s="32">
        <f t="shared" si="5"/>
        <v>0</v>
      </c>
      <c r="U26">
        <f t="shared" si="6"/>
        <v>11</v>
      </c>
    </row>
    <row r="27" spans="2:21" ht="26.25" thickBot="1" x14ac:dyDescent="0.3">
      <c r="B27" s="28" t="s">
        <v>67</v>
      </c>
      <c r="C27">
        <v>3</v>
      </c>
      <c r="D27">
        <v>4</v>
      </c>
      <c r="E27">
        <v>3</v>
      </c>
      <c r="F27">
        <v>5</v>
      </c>
      <c r="G27">
        <v>4</v>
      </c>
      <c r="H27">
        <v>4</v>
      </c>
      <c r="I27">
        <v>3</v>
      </c>
      <c r="J27">
        <v>4</v>
      </c>
      <c r="K27">
        <v>3</v>
      </c>
      <c r="L27">
        <v>4</v>
      </c>
      <c r="M27">
        <v>5</v>
      </c>
      <c r="O27" s="43">
        <f t="shared" si="0"/>
        <v>3.8181818181818183</v>
      </c>
      <c r="P27" s="31">
        <f t="shared" si="1"/>
        <v>0</v>
      </c>
      <c r="Q27" s="30">
        <f t="shared" si="2"/>
        <v>0</v>
      </c>
      <c r="R27" s="30">
        <f t="shared" si="3"/>
        <v>4</v>
      </c>
      <c r="S27" s="30">
        <f t="shared" si="4"/>
        <v>5</v>
      </c>
      <c r="T27" s="32">
        <f t="shared" si="5"/>
        <v>2</v>
      </c>
      <c r="U27">
        <f t="shared" si="6"/>
        <v>11</v>
      </c>
    </row>
    <row r="28" spans="2:21" ht="26.25" thickBot="1" x14ac:dyDescent="0.3">
      <c r="B28" s="28" t="s">
        <v>68</v>
      </c>
      <c r="C28">
        <v>4</v>
      </c>
      <c r="D28">
        <v>1</v>
      </c>
      <c r="E28">
        <v>2</v>
      </c>
      <c r="F28">
        <v>4</v>
      </c>
      <c r="G28">
        <v>3</v>
      </c>
      <c r="H28">
        <v>4</v>
      </c>
      <c r="I28">
        <v>3</v>
      </c>
      <c r="J28">
        <v>4</v>
      </c>
      <c r="K28">
        <v>2</v>
      </c>
      <c r="L28">
        <v>3</v>
      </c>
      <c r="M28">
        <v>3</v>
      </c>
      <c r="O28" s="43">
        <f t="shared" si="0"/>
        <v>3</v>
      </c>
      <c r="P28" s="31">
        <f t="shared" si="1"/>
        <v>1</v>
      </c>
      <c r="Q28" s="30">
        <f t="shared" si="2"/>
        <v>2</v>
      </c>
      <c r="R28" s="30">
        <f t="shared" si="3"/>
        <v>4</v>
      </c>
      <c r="S28" s="30">
        <f t="shared" si="4"/>
        <v>4</v>
      </c>
      <c r="T28" s="32">
        <f t="shared" si="5"/>
        <v>0</v>
      </c>
      <c r="U28">
        <f t="shared" si="6"/>
        <v>11</v>
      </c>
    </row>
    <row r="29" spans="2:21" ht="15.75" thickBot="1" x14ac:dyDescent="0.3">
      <c r="B29" s="28" t="s">
        <v>69</v>
      </c>
      <c r="C29">
        <v>4</v>
      </c>
      <c r="D29">
        <v>4</v>
      </c>
      <c r="E29">
        <v>3</v>
      </c>
      <c r="F29">
        <v>4</v>
      </c>
      <c r="G29">
        <v>4</v>
      </c>
      <c r="H29">
        <v>4</v>
      </c>
      <c r="I29">
        <v>3</v>
      </c>
      <c r="J29">
        <v>4</v>
      </c>
      <c r="K29">
        <v>3</v>
      </c>
      <c r="L29">
        <v>4</v>
      </c>
      <c r="M29">
        <v>4</v>
      </c>
      <c r="O29" s="43">
        <f t="shared" si="0"/>
        <v>3.7272727272727271</v>
      </c>
      <c r="P29" s="31">
        <f t="shared" si="1"/>
        <v>0</v>
      </c>
      <c r="Q29" s="30">
        <f t="shared" si="2"/>
        <v>0</v>
      </c>
      <c r="R29" s="30">
        <f t="shared" si="3"/>
        <v>3</v>
      </c>
      <c r="S29" s="30">
        <f t="shared" si="4"/>
        <v>8</v>
      </c>
      <c r="T29" s="32">
        <f t="shared" si="5"/>
        <v>0</v>
      </c>
      <c r="U29">
        <f t="shared" si="6"/>
        <v>11</v>
      </c>
    </row>
    <row r="30" spans="2:21" ht="15.75" thickBot="1" x14ac:dyDescent="0.3">
      <c r="B30" s="28" t="s">
        <v>70</v>
      </c>
      <c r="C30">
        <v>4</v>
      </c>
      <c r="D30">
        <v>1</v>
      </c>
      <c r="E30">
        <v>2</v>
      </c>
      <c r="F30">
        <v>5</v>
      </c>
      <c r="G30">
        <v>3</v>
      </c>
      <c r="H30">
        <v>4</v>
      </c>
      <c r="I30">
        <v>2</v>
      </c>
      <c r="J30">
        <v>3</v>
      </c>
      <c r="K30">
        <v>2</v>
      </c>
      <c r="L30">
        <v>2</v>
      </c>
      <c r="M30">
        <v>3</v>
      </c>
      <c r="O30" s="43">
        <f t="shared" si="0"/>
        <v>2.8181818181818183</v>
      </c>
      <c r="P30" s="31">
        <f t="shared" si="1"/>
        <v>1</v>
      </c>
      <c r="Q30" s="30">
        <f t="shared" si="2"/>
        <v>4</v>
      </c>
      <c r="R30" s="30">
        <f t="shared" si="3"/>
        <v>3</v>
      </c>
      <c r="S30" s="30">
        <f t="shared" si="4"/>
        <v>2</v>
      </c>
      <c r="T30" s="32">
        <f t="shared" si="5"/>
        <v>1</v>
      </c>
      <c r="U30">
        <f t="shared" si="6"/>
        <v>11</v>
      </c>
    </row>
    <row r="31" spans="2:21" ht="15.75" thickBot="1" x14ac:dyDescent="0.3">
      <c r="B31" s="26" t="s">
        <v>71</v>
      </c>
      <c r="O31" s="43"/>
      <c r="P31" s="31">
        <f t="shared" si="1"/>
        <v>0</v>
      </c>
      <c r="Q31" s="30">
        <f t="shared" si="2"/>
        <v>0</v>
      </c>
      <c r="R31" s="30">
        <f t="shared" si="3"/>
        <v>0</v>
      </c>
      <c r="S31" s="30">
        <f t="shared" si="4"/>
        <v>0</v>
      </c>
      <c r="T31" s="32">
        <f t="shared" si="5"/>
        <v>0</v>
      </c>
      <c r="U31">
        <f t="shared" si="6"/>
        <v>0</v>
      </c>
    </row>
    <row r="32" spans="2:21" ht="30.75" thickBot="1" x14ac:dyDescent="0.3">
      <c r="B32" s="29" t="s">
        <v>1</v>
      </c>
      <c r="C32">
        <v>4</v>
      </c>
      <c r="D32">
        <v>3</v>
      </c>
      <c r="E32">
        <v>4</v>
      </c>
      <c r="F32">
        <v>4</v>
      </c>
      <c r="G32">
        <v>4</v>
      </c>
      <c r="H32">
        <v>4</v>
      </c>
      <c r="I32">
        <v>3</v>
      </c>
      <c r="J32">
        <v>4</v>
      </c>
      <c r="K32">
        <v>3</v>
      </c>
      <c r="L32">
        <v>4</v>
      </c>
      <c r="M32">
        <v>3</v>
      </c>
      <c r="O32" s="43">
        <f t="shared" si="0"/>
        <v>3.6363636363636362</v>
      </c>
      <c r="P32" s="31">
        <f t="shared" si="1"/>
        <v>0</v>
      </c>
      <c r="Q32" s="30">
        <f t="shared" si="2"/>
        <v>0</v>
      </c>
      <c r="R32" s="30">
        <f t="shared" si="3"/>
        <v>4</v>
      </c>
      <c r="S32" s="30">
        <f t="shared" si="4"/>
        <v>7</v>
      </c>
      <c r="T32" s="32">
        <f t="shared" si="5"/>
        <v>0</v>
      </c>
      <c r="U32">
        <f t="shared" si="6"/>
        <v>11</v>
      </c>
    </row>
    <row r="33" spans="2:21" ht="30.75" thickBot="1" x14ac:dyDescent="0.3">
      <c r="B33" s="29" t="s">
        <v>2</v>
      </c>
      <c r="C33">
        <v>4</v>
      </c>
      <c r="D33">
        <v>4</v>
      </c>
      <c r="E33">
        <v>3</v>
      </c>
      <c r="F33">
        <v>5</v>
      </c>
      <c r="G33">
        <v>4</v>
      </c>
      <c r="H33">
        <v>4</v>
      </c>
      <c r="I33">
        <v>2</v>
      </c>
      <c r="J33">
        <v>3</v>
      </c>
      <c r="K33">
        <v>3</v>
      </c>
      <c r="L33">
        <v>3</v>
      </c>
      <c r="M33">
        <v>3</v>
      </c>
      <c r="O33" s="43">
        <f t="shared" si="0"/>
        <v>3.4545454545454546</v>
      </c>
      <c r="P33" s="31">
        <f t="shared" si="1"/>
        <v>0</v>
      </c>
      <c r="Q33" s="30">
        <f t="shared" si="2"/>
        <v>1</v>
      </c>
      <c r="R33" s="30">
        <f t="shared" si="3"/>
        <v>5</v>
      </c>
      <c r="S33" s="30">
        <f t="shared" si="4"/>
        <v>4</v>
      </c>
      <c r="T33" s="32">
        <f t="shared" si="5"/>
        <v>1</v>
      </c>
      <c r="U33">
        <f t="shared" si="6"/>
        <v>11</v>
      </c>
    </row>
    <row r="34" spans="2:21" ht="30.75" thickBot="1" x14ac:dyDescent="0.3">
      <c r="B34" s="29" t="s">
        <v>3</v>
      </c>
      <c r="C34">
        <v>3</v>
      </c>
      <c r="D34">
        <v>1</v>
      </c>
      <c r="E34">
        <v>3</v>
      </c>
      <c r="F34">
        <v>4</v>
      </c>
      <c r="G34">
        <v>3</v>
      </c>
      <c r="H34">
        <v>4</v>
      </c>
      <c r="I34">
        <v>2</v>
      </c>
      <c r="J34">
        <v>3</v>
      </c>
      <c r="K34">
        <v>2</v>
      </c>
      <c r="L34">
        <v>3</v>
      </c>
      <c r="M34">
        <v>3</v>
      </c>
      <c r="O34" s="43">
        <f t="shared" si="0"/>
        <v>2.8181818181818183</v>
      </c>
      <c r="P34" s="31">
        <f t="shared" si="1"/>
        <v>1</v>
      </c>
      <c r="Q34" s="30">
        <f t="shared" si="2"/>
        <v>2</v>
      </c>
      <c r="R34" s="30">
        <f t="shared" si="3"/>
        <v>6</v>
      </c>
      <c r="S34" s="30">
        <f t="shared" si="4"/>
        <v>2</v>
      </c>
      <c r="T34" s="32">
        <f t="shared" si="5"/>
        <v>0</v>
      </c>
      <c r="U34">
        <f t="shared" si="6"/>
        <v>11</v>
      </c>
    </row>
    <row r="35" spans="2:21" ht="30.75" thickBot="1" x14ac:dyDescent="0.3">
      <c r="B35" s="29" t="s">
        <v>4</v>
      </c>
      <c r="C35">
        <v>4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3</v>
      </c>
      <c r="K35">
        <v>3</v>
      </c>
      <c r="L35">
        <v>4</v>
      </c>
      <c r="M35">
        <v>2</v>
      </c>
      <c r="O35" s="43">
        <f t="shared" si="0"/>
        <v>3.6363636363636362</v>
      </c>
      <c r="P35" s="31">
        <f t="shared" si="1"/>
        <v>0</v>
      </c>
      <c r="Q35" s="30">
        <f t="shared" si="2"/>
        <v>1</v>
      </c>
      <c r="R35" s="30">
        <f t="shared" si="3"/>
        <v>2</v>
      </c>
      <c r="S35" s="30">
        <f t="shared" si="4"/>
        <v>8</v>
      </c>
      <c r="T35" s="32">
        <f t="shared" si="5"/>
        <v>0</v>
      </c>
      <c r="U35">
        <f t="shared" si="6"/>
        <v>11</v>
      </c>
    </row>
    <row r="36" spans="2:21" ht="30.75" thickBot="1" x14ac:dyDescent="0.3">
      <c r="B36" s="29" t="s">
        <v>5</v>
      </c>
      <c r="C36">
        <v>3</v>
      </c>
      <c r="D36">
        <v>2</v>
      </c>
      <c r="E36">
        <v>4</v>
      </c>
      <c r="F36">
        <v>4</v>
      </c>
      <c r="G36">
        <v>4</v>
      </c>
      <c r="H36">
        <v>4</v>
      </c>
      <c r="I36">
        <v>3</v>
      </c>
      <c r="J36">
        <v>4</v>
      </c>
      <c r="K36">
        <v>2</v>
      </c>
      <c r="L36">
        <v>3</v>
      </c>
      <c r="M36">
        <v>3</v>
      </c>
      <c r="O36" s="43">
        <f t="shared" si="0"/>
        <v>3.2727272727272729</v>
      </c>
      <c r="P36" s="31">
        <f t="shared" si="1"/>
        <v>0</v>
      </c>
      <c r="Q36" s="30">
        <f t="shared" si="2"/>
        <v>2</v>
      </c>
      <c r="R36" s="30">
        <f t="shared" si="3"/>
        <v>4</v>
      </c>
      <c r="S36" s="30">
        <f t="shared" si="4"/>
        <v>5</v>
      </c>
      <c r="T36" s="32">
        <f t="shared" si="5"/>
        <v>0</v>
      </c>
      <c r="U36">
        <f t="shared" si="6"/>
        <v>11</v>
      </c>
    </row>
    <row r="37" spans="2:21" ht="30.75" thickBot="1" x14ac:dyDescent="0.3">
      <c r="B37" s="29" t="s">
        <v>6</v>
      </c>
      <c r="C37">
        <v>4</v>
      </c>
      <c r="D37">
        <v>3</v>
      </c>
      <c r="E37">
        <v>4</v>
      </c>
      <c r="F37">
        <v>4</v>
      </c>
      <c r="G37">
        <v>4</v>
      </c>
      <c r="H37">
        <v>3</v>
      </c>
      <c r="I37">
        <v>2</v>
      </c>
      <c r="J37">
        <v>3</v>
      </c>
      <c r="K37">
        <v>3</v>
      </c>
      <c r="L37">
        <v>4</v>
      </c>
      <c r="M37">
        <v>3</v>
      </c>
      <c r="O37" s="43">
        <f t="shared" si="0"/>
        <v>3.3636363636363638</v>
      </c>
      <c r="P37" s="31">
        <f t="shared" si="1"/>
        <v>0</v>
      </c>
      <c r="Q37" s="30">
        <f t="shared" si="2"/>
        <v>1</v>
      </c>
      <c r="R37" s="30">
        <f t="shared" si="3"/>
        <v>5</v>
      </c>
      <c r="S37" s="30">
        <f t="shared" si="4"/>
        <v>5</v>
      </c>
      <c r="T37" s="32">
        <f t="shared" si="5"/>
        <v>0</v>
      </c>
      <c r="U37">
        <f t="shared" si="6"/>
        <v>11</v>
      </c>
    </row>
    <row r="38" spans="2:21" ht="30.75" thickBot="1" x14ac:dyDescent="0.3">
      <c r="B38" s="29" t="s">
        <v>7</v>
      </c>
      <c r="C38">
        <v>3</v>
      </c>
      <c r="D38">
        <v>2</v>
      </c>
      <c r="E38">
        <v>3</v>
      </c>
      <c r="F38">
        <v>3</v>
      </c>
      <c r="G38">
        <v>4</v>
      </c>
      <c r="H38">
        <v>3</v>
      </c>
      <c r="I38">
        <v>2</v>
      </c>
      <c r="J38">
        <v>4</v>
      </c>
      <c r="K38">
        <v>2</v>
      </c>
      <c r="L38">
        <v>3</v>
      </c>
      <c r="M38">
        <v>4</v>
      </c>
      <c r="O38" s="43">
        <f t="shared" si="0"/>
        <v>3</v>
      </c>
      <c r="P38" s="31">
        <f t="shared" si="1"/>
        <v>0</v>
      </c>
      <c r="Q38" s="30">
        <f t="shared" si="2"/>
        <v>3</v>
      </c>
      <c r="R38" s="30">
        <f t="shared" si="3"/>
        <v>5</v>
      </c>
      <c r="S38" s="30">
        <f t="shared" si="4"/>
        <v>3</v>
      </c>
      <c r="T38" s="32">
        <f t="shared" si="5"/>
        <v>0</v>
      </c>
      <c r="U38">
        <f t="shared" si="6"/>
        <v>11</v>
      </c>
    </row>
    <row r="39" spans="2:21" ht="30.75" thickBot="1" x14ac:dyDescent="0.3">
      <c r="B39" s="29" t="s">
        <v>8</v>
      </c>
      <c r="C39">
        <v>3</v>
      </c>
      <c r="D39">
        <v>1</v>
      </c>
      <c r="E39">
        <v>3</v>
      </c>
      <c r="F39">
        <v>4</v>
      </c>
      <c r="G39">
        <v>3</v>
      </c>
      <c r="H39">
        <v>3</v>
      </c>
      <c r="I39">
        <v>3</v>
      </c>
      <c r="J39">
        <v>3</v>
      </c>
      <c r="K39">
        <v>2</v>
      </c>
      <c r="L39">
        <v>2</v>
      </c>
      <c r="M39">
        <v>2</v>
      </c>
      <c r="O39" s="43">
        <f t="shared" si="0"/>
        <v>2.6363636363636362</v>
      </c>
      <c r="P39" s="33">
        <f t="shared" si="1"/>
        <v>1</v>
      </c>
      <c r="Q39" s="34">
        <f t="shared" si="2"/>
        <v>3</v>
      </c>
      <c r="R39" s="34">
        <f t="shared" si="3"/>
        <v>6</v>
      </c>
      <c r="S39" s="34">
        <f t="shared" si="4"/>
        <v>1</v>
      </c>
      <c r="T39" s="35">
        <f t="shared" si="5"/>
        <v>0</v>
      </c>
      <c r="U39">
        <f t="shared" si="6"/>
        <v>11</v>
      </c>
    </row>
    <row r="40" spans="2:21" x14ac:dyDescent="0.25">
      <c r="U40">
        <f t="shared" si="6"/>
        <v>0</v>
      </c>
    </row>
  </sheetData>
  <mergeCells count="1">
    <mergeCell ref="P1:T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F2B7-7D7D-4F6C-82A6-93F65701DBDB}">
  <dimension ref="A1:G402"/>
  <sheetViews>
    <sheetView topLeftCell="B396" workbookViewId="0">
      <selection activeCell="Q409" sqref="Q409"/>
    </sheetView>
  </sheetViews>
  <sheetFormatPr defaultRowHeight="15" x14ac:dyDescent="0.25"/>
  <cols>
    <col min="1" max="1" width="79.42578125" customWidth="1"/>
    <col min="2" max="6" width="11.28515625" customWidth="1"/>
    <col min="7" max="7" width="11.5703125" customWidth="1"/>
  </cols>
  <sheetData>
    <row r="1" spans="1:7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7" ht="45" x14ac:dyDescent="0.25">
      <c r="A2" s="44" t="str">
        <f>Datos!B2</f>
        <v>PROPÓSITO, METAS Y VALORES</v>
      </c>
      <c r="B2" s="36" t="s">
        <v>87</v>
      </c>
      <c r="C2" s="37" t="s">
        <v>88</v>
      </c>
      <c r="D2" s="37" t="s">
        <v>91</v>
      </c>
      <c r="E2" s="37" t="s">
        <v>90</v>
      </c>
      <c r="F2" s="38" t="s">
        <v>89</v>
      </c>
      <c r="G2" s="1" t="s">
        <v>0</v>
      </c>
    </row>
    <row r="3" spans="1:7" ht="30" x14ac:dyDescent="0.25">
      <c r="A3" s="1" t="str">
        <f>Datos!B3</f>
        <v>1.       El equipo tiene un propósito común que es inspirador y entusiasma a sus miembros. El propósito “captura el corazón y el alma” de los miembros del equipo.</v>
      </c>
      <c r="B3">
        <f>Datos!P3</f>
        <v>0</v>
      </c>
      <c r="C3">
        <f>Datos!Q3</f>
        <v>1</v>
      </c>
      <c r="D3">
        <f>Datos!R3</f>
        <v>6</v>
      </c>
      <c r="E3">
        <f>Datos!S3</f>
        <v>4</v>
      </c>
      <c r="F3">
        <f>Datos!T3</f>
        <v>0</v>
      </c>
      <c r="G3" s="42">
        <f>SUMPRODUCT(B3:F3,$B$1:$F$1)/SUM(B3:F3)</f>
        <v>3.2727272727272729</v>
      </c>
    </row>
    <row r="12" spans="1:7" ht="30" x14ac:dyDescent="0.25">
      <c r="A12" s="1" t="str">
        <f>Datos!B4</f>
        <v>2.       El equipo tiene la capacidad de comunicar dicho propósito al resto de su estructura.</v>
      </c>
      <c r="B12">
        <f>Datos!P4</f>
        <v>0</v>
      </c>
      <c r="C12">
        <f>Datos!Q4</f>
        <v>3</v>
      </c>
      <c r="D12">
        <f>Datos!R4</f>
        <v>5</v>
      </c>
      <c r="E12">
        <f>Datos!S4</f>
        <v>3</v>
      </c>
      <c r="F12">
        <f>Datos!T4</f>
        <v>0</v>
      </c>
      <c r="G12" s="2">
        <f>SUMPRODUCT(B12:F12,$B$1:$F$1)/SUM(B12:F12)</f>
        <v>3</v>
      </c>
    </row>
    <row r="24" spans="1:7" ht="30" x14ac:dyDescent="0.25">
      <c r="A24" s="1" t="str">
        <f>Datos!B5</f>
        <v>3.       El equipo tiene claro cómo su propósito se conecta y contribuye con el propósito último de la organización.</v>
      </c>
      <c r="B24">
        <f>Datos!P5</f>
        <v>0</v>
      </c>
      <c r="C24">
        <f>Datos!Q5</f>
        <v>0</v>
      </c>
      <c r="D24">
        <f>Datos!R5</f>
        <v>4</v>
      </c>
      <c r="E24">
        <f>Datos!S5</f>
        <v>5</v>
      </c>
      <c r="F24">
        <f>Datos!T5</f>
        <v>2</v>
      </c>
      <c r="G24" s="42">
        <f>SUMPRODUCT(B24:F24,$B$1:$F$1)/SUM(B24:F24)</f>
        <v>3.8181818181818183</v>
      </c>
    </row>
    <row r="36" spans="1:7" x14ac:dyDescent="0.25">
      <c r="A36" s="1" t="str">
        <f>Datos!B6</f>
        <v>4.       El equipo tiene claros sus objetivos o metas de desempeño.</v>
      </c>
      <c r="B36">
        <f>Datos!P6</f>
        <v>0</v>
      </c>
      <c r="C36">
        <f>Datos!Q6</f>
        <v>0</v>
      </c>
      <c r="D36">
        <f>Datos!R6</f>
        <v>5</v>
      </c>
      <c r="E36">
        <f>Datos!S6</f>
        <v>5</v>
      </c>
      <c r="F36">
        <f>Datos!T6</f>
        <v>1</v>
      </c>
      <c r="G36" s="42">
        <f>SUMPRODUCT(B36:F36,$B$1:$F$1)/SUM(B36:F36)</f>
        <v>3.6363636363636362</v>
      </c>
    </row>
    <row r="48" spans="1:7" ht="30" x14ac:dyDescent="0.25">
      <c r="A48" s="1" t="str">
        <f>Datos!B7</f>
        <v>5.       El proceso de planificación estratégica de la organización se basa en las metas de desempeño de este equipo.</v>
      </c>
      <c r="B48">
        <f>Datos!P7</f>
        <v>0</v>
      </c>
      <c r="C48">
        <f>Datos!Q7</f>
        <v>3</v>
      </c>
      <c r="D48">
        <f>Datos!R7</f>
        <v>3</v>
      </c>
      <c r="E48">
        <f>Datos!S7</f>
        <v>5</v>
      </c>
      <c r="F48">
        <f>Datos!T7</f>
        <v>0</v>
      </c>
      <c r="G48" s="42">
        <f>SUMPRODUCT(B48:F48,$B$1:$F$1)/SUM(B48:F48)</f>
        <v>3.1818181818181817</v>
      </c>
    </row>
    <row r="60" spans="1:7" x14ac:dyDescent="0.25">
      <c r="A60" s="1" t="str">
        <f>Datos!B8</f>
        <v>6.       Existen métricas para los objetivos de desempeño del equipo.</v>
      </c>
      <c r="B60">
        <f>Datos!P8</f>
        <v>2</v>
      </c>
      <c r="C60">
        <f>Datos!Q8</f>
        <v>4</v>
      </c>
      <c r="D60">
        <f>Datos!R8</f>
        <v>3</v>
      </c>
      <c r="E60">
        <f>Datos!S8</f>
        <v>2</v>
      </c>
      <c r="F60">
        <f>Datos!T8</f>
        <v>0</v>
      </c>
      <c r="G60" s="42">
        <f>SUMPRODUCT(B60:F60,$B$1:$F$1)/SUM(B60:F60)</f>
        <v>2.4545454545454546</v>
      </c>
    </row>
    <row r="72" spans="1:7" ht="30" x14ac:dyDescent="0.25">
      <c r="A72" s="1" t="str">
        <f>Datos!B9</f>
        <v>7.       Los objetivos del equipo quedan registrados en un documento “vivo” al que se recurre y revisa periódicamente.</v>
      </c>
      <c r="B72">
        <f>Datos!P9</f>
        <v>0</v>
      </c>
      <c r="C72">
        <f>Datos!Q9</f>
        <v>8</v>
      </c>
      <c r="D72">
        <f>Datos!R9</f>
        <v>3</v>
      </c>
      <c r="E72">
        <f>Datos!S9</f>
        <v>0</v>
      </c>
      <c r="F72">
        <f>Datos!T9</f>
        <v>0</v>
      </c>
      <c r="G72" s="42">
        <f>SUMPRODUCT(B72:F72,$B$1:$F$1)/SUM(B72:F72)</f>
        <v>2.2727272727272729</v>
      </c>
    </row>
    <row r="84" spans="1:7" ht="30" x14ac:dyDescent="0.25">
      <c r="A84" s="1" t="str">
        <f>Datos!B10</f>
        <v>8.       El equipo reflexiona acerca de los riesgos para alcanzar las metas individuales, y discute planes para su contingencia.</v>
      </c>
      <c r="B84">
        <f>Datos!P10</f>
        <v>0</v>
      </c>
      <c r="C84">
        <f>Datos!Q10</f>
        <v>5</v>
      </c>
      <c r="D84">
        <f>Datos!R10</f>
        <v>5</v>
      </c>
      <c r="E84">
        <f>Datos!S10</f>
        <v>1</v>
      </c>
      <c r="F84">
        <f>Datos!T10</f>
        <v>0</v>
      </c>
      <c r="G84" s="42">
        <f>SUMPRODUCT(B84:F84,$B$1:$F$1)/SUM(B84:F84)</f>
        <v>2.6363636363636362</v>
      </c>
    </row>
    <row r="96" spans="1:7" ht="30" x14ac:dyDescent="0.25">
      <c r="A96" s="1" t="str">
        <f>Datos!B11</f>
        <v>9.       Cada miembro del equipo demuestra alineamiento con los valores de la empresa y un elevado nivel de integridad personal.</v>
      </c>
      <c r="B96">
        <f>Datos!P11</f>
        <v>0</v>
      </c>
      <c r="C96">
        <f>Datos!Q11</f>
        <v>0</v>
      </c>
      <c r="D96">
        <f>Datos!R11</f>
        <v>4</v>
      </c>
      <c r="E96">
        <f>Datos!S11</f>
        <v>5</v>
      </c>
      <c r="F96">
        <f>Datos!T11</f>
        <v>2</v>
      </c>
      <c r="G96" s="42">
        <f>SUMPRODUCT(B96:F96,$B$1:$F$1)/SUM(B96:F96)</f>
        <v>3.8181818181818183</v>
      </c>
    </row>
    <row r="109" spans="1:7" ht="18.75" x14ac:dyDescent="0.25">
      <c r="A109" s="45" t="str">
        <f>Datos!B12</f>
        <v>ROLES Y RESPONSABILIDADES</v>
      </c>
    </row>
    <row r="110" spans="1:7" x14ac:dyDescent="0.25">
      <c r="A110" s="1" t="str">
        <f>Datos!B13</f>
        <v xml:space="preserve">1.        Los roles dentro del equipo están claramente definidos y acordados. </v>
      </c>
      <c r="B110">
        <f>Datos!P13</f>
        <v>0</v>
      </c>
      <c r="C110">
        <f>Datos!Q13</f>
        <v>0</v>
      </c>
      <c r="D110">
        <f>Datos!R13</f>
        <v>1</v>
      </c>
      <c r="E110">
        <f>Datos!S13</f>
        <v>8</v>
      </c>
      <c r="F110">
        <f>Datos!T13</f>
        <v>2</v>
      </c>
      <c r="G110" s="42">
        <f>SUMPRODUCT(B110:F110,$B$1:$F$1)/SUM(B110:F110)</f>
        <v>4.0909090909090908</v>
      </c>
    </row>
    <row r="122" spans="1:7" ht="30" x14ac:dyDescent="0.25">
      <c r="A122" s="1" t="str">
        <f>Datos!B14</f>
        <v xml:space="preserve">2.       Las interdependencias entre miembros están claramente definidas y funcionan cabalmente.  </v>
      </c>
      <c r="B122">
        <f>Datos!P14</f>
        <v>0</v>
      </c>
      <c r="C122">
        <f>Datos!Q14</f>
        <v>1</v>
      </c>
      <c r="D122">
        <f>Datos!R14</f>
        <v>2</v>
      </c>
      <c r="E122">
        <f>Datos!S14</f>
        <v>7</v>
      </c>
      <c r="F122">
        <f>Datos!T14</f>
        <v>1</v>
      </c>
      <c r="G122" s="42">
        <f>SUMPRODUCT(B122:F122,$B$1:$F$1)/SUM(B122:F122)</f>
        <v>3.7272727272727271</v>
      </c>
    </row>
    <row r="134" spans="1:7" ht="30" x14ac:dyDescent="0.25">
      <c r="A134" s="1" t="str">
        <f>Datos!B15</f>
        <v>3.       Las metas individuales y su conexión con las metas y objetivos del equipo están definidas claramente.</v>
      </c>
      <c r="B134">
        <f>Datos!P15</f>
        <v>0</v>
      </c>
      <c r="C134">
        <f>Datos!Q15</f>
        <v>0</v>
      </c>
      <c r="D134">
        <f>Datos!R15</f>
        <v>6</v>
      </c>
      <c r="E134">
        <f>Datos!S15</f>
        <v>4</v>
      </c>
      <c r="F134">
        <f>Datos!T15</f>
        <v>1</v>
      </c>
      <c r="G134" s="42">
        <f>SUMPRODUCT(B134:F134,$B$1:$F$1)/SUM(B134:F134)</f>
        <v>3.5454545454545454</v>
      </c>
    </row>
    <row r="146" spans="1:7" ht="30" x14ac:dyDescent="0.25">
      <c r="A146" s="1" t="str">
        <f>Datos!B16</f>
        <v xml:space="preserve">4.       Los integrantes del equipo se consideran mutua e individualmente responsables ante metas colectivas. </v>
      </c>
      <c r="B146">
        <f>Datos!P16</f>
        <v>0</v>
      </c>
      <c r="C146">
        <f>Datos!Q16</f>
        <v>3</v>
      </c>
      <c r="D146">
        <f>Datos!R16</f>
        <v>3</v>
      </c>
      <c r="E146">
        <f>Datos!S16</f>
        <v>5</v>
      </c>
      <c r="F146">
        <f>Datos!T16</f>
        <v>0</v>
      </c>
      <c r="G146" s="42">
        <f>SUMPRODUCT(B146:F146,$B$1:$F$1)/SUM(B146:F146)</f>
        <v>3.1818181818181817</v>
      </c>
    </row>
    <row r="147" spans="1:7" ht="19.5" customHeight="1" x14ac:dyDescent="0.25"/>
    <row r="148" spans="1:7" ht="19.5" customHeight="1" x14ac:dyDescent="0.25"/>
    <row r="149" spans="1:7" ht="19.5" customHeight="1" x14ac:dyDescent="0.25"/>
    <row r="150" spans="1:7" ht="19.5" customHeight="1" x14ac:dyDescent="0.25"/>
    <row r="151" spans="1:7" ht="19.5" customHeight="1" x14ac:dyDescent="0.25"/>
    <row r="152" spans="1:7" ht="19.5" customHeight="1" x14ac:dyDescent="0.25"/>
    <row r="153" spans="1:7" ht="19.5" customHeight="1" x14ac:dyDescent="0.25"/>
    <row r="154" spans="1:7" ht="19.5" customHeight="1" x14ac:dyDescent="0.25"/>
    <row r="155" spans="1:7" ht="19.5" customHeight="1" x14ac:dyDescent="0.25"/>
    <row r="156" spans="1:7" ht="19.5" customHeight="1" x14ac:dyDescent="0.25"/>
    <row r="157" spans="1:7" ht="19.5" customHeight="1" x14ac:dyDescent="0.25"/>
    <row r="158" spans="1:7" ht="30" x14ac:dyDescent="0.25">
      <c r="A158" s="1" t="str">
        <f>Datos!B17</f>
        <v>5.       El rol del líder está claramente definido y los miembros tienen un entendimiento común de éste.</v>
      </c>
      <c r="B158">
        <f>Datos!P17</f>
        <v>0</v>
      </c>
      <c r="C158">
        <f>Datos!Q17</f>
        <v>0</v>
      </c>
      <c r="D158">
        <f>Datos!R17</f>
        <v>6</v>
      </c>
      <c r="E158">
        <f>Datos!S17</f>
        <v>4</v>
      </c>
      <c r="F158">
        <f>Datos!T17</f>
        <v>1</v>
      </c>
      <c r="G158" s="42">
        <f>SUMPRODUCT(B158:F158,$B$1:$F$1)/SUM(B158:F158)</f>
        <v>3.5454545454545454</v>
      </c>
    </row>
    <row r="170" spans="1:7" ht="30" x14ac:dyDescent="0.25">
      <c r="A170" s="1" t="str">
        <f>Datos!B18</f>
        <v>6.       Los miembros del equipo cumplen con sus promesas demostrando compromiso respecto de las metas y objetivos individuales.</v>
      </c>
      <c r="B170">
        <f>Datos!P18</f>
        <v>0</v>
      </c>
      <c r="C170">
        <f>Datos!Q18</f>
        <v>0</v>
      </c>
      <c r="D170">
        <f>Datos!R18</f>
        <v>2</v>
      </c>
      <c r="E170">
        <f>Datos!S18</f>
        <v>9</v>
      </c>
      <c r="F170">
        <f>Datos!T18</f>
        <v>0</v>
      </c>
      <c r="G170" s="42">
        <f>SUMPRODUCT(B170:F170,$B$1:$F$1)/SUM(B170:F170)</f>
        <v>3.8181818181818183</v>
      </c>
    </row>
    <row r="182" spans="1:7" ht="30" x14ac:dyDescent="0.25">
      <c r="A182" s="1" t="str">
        <f>Datos!B19</f>
        <v xml:space="preserve">7.       Los miembros del equipo están dispuestos a realizar sacrificios y compartir recursos para optimizar la efectividad del equipo en el logro de las metas. </v>
      </c>
      <c r="B182">
        <f>Datos!P19</f>
        <v>0</v>
      </c>
      <c r="C182">
        <f>Datos!Q19</f>
        <v>1</v>
      </c>
      <c r="D182">
        <f>Datos!R19</f>
        <v>5</v>
      </c>
      <c r="E182">
        <f>Datos!S19</f>
        <v>4</v>
      </c>
      <c r="F182">
        <f>Datos!T19</f>
        <v>1</v>
      </c>
      <c r="G182" s="42">
        <f>SUMPRODUCT(B182:F182,$B$1:$F$1)/SUM(B182:F182)</f>
        <v>3.4545454545454546</v>
      </c>
    </row>
    <row r="194" spans="1:7" ht="30" x14ac:dyDescent="0.25">
      <c r="A194" s="1" t="str">
        <f>Datos!B20</f>
        <v>8.       El equipo dedica tiempo a crecer como tal, aumentando el sentido de la solidaridad entre sus miembros.</v>
      </c>
      <c r="B194">
        <f>Datos!P20</f>
        <v>0</v>
      </c>
      <c r="C194">
        <f>Datos!Q20</f>
        <v>1</v>
      </c>
      <c r="D194">
        <f>Datos!R20</f>
        <v>2</v>
      </c>
      <c r="E194">
        <f>Datos!S20</f>
        <v>6</v>
      </c>
      <c r="F194">
        <f>Datos!T20</f>
        <v>2</v>
      </c>
      <c r="G194" s="42">
        <f>SUMPRODUCT(B194:F194,$B$1:$F$1)/SUM(B194:F194)</f>
        <v>3.8181818181818183</v>
      </c>
    </row>
    <row r="207" spans="1:7" ht="18.75" x14ac:dyDescent="0.3">
      <c r="A207" s="46" t="str">
        <f>Datos!B21</f>
        <v>PROCESOS</v>
      </c>
    </row>
    <row r="208" spans="1:7" x14ac:dyDescent="0.25">
      <c r="A208" t="str">
        <f>Datos!B22</f>
        <v>1.       Existen acuerdos operativos o reglas de funcionamiento definidas para el equipo.</v>
      </c>
      <c r="B208">
        <f>Datos!P22</f>
        <v>0</v>
      </c>
      <c r="C208">
        <f>Datos!Q22</f>
        <v>2</v>
      </c>
      <c r="D208">
        <f>Datos!R22</f>
        <v>2</v>
      </c>
      <c r="E208">
        <f>Datos!S22</f>
        <v>6</v>
      </c>
      <c r="F208">
        <f>Datos!T22</f>
        <v>1</v>
      </c>
      <c r="G208" s="42">
        <f>SUMPRODUCT(B208:F208,$B$1:$F$1)/SUM(B208:F208)</f>
        <v>3.5454545454545454</v>
      </c>
    </row>
    <row r="220" spans="1:7" x14ac:dyDescent="0.25">
      <c r="A220" t="str">
        <f>Datos!B23</f>
        <v>2.       Se revisan periódicamente los procesos en base a su efectividad.</v>
      </c>
      <c r="B220">
        <f>Datos!P23</f>
        <v>2</v>
      </c>
      <c r="C220">
        <f>Datos!Q23</f>
        <v>1</v>
      </c>
      <c r="D220">
        <f>Datos!R23</f>
        <v>5</v>
      </c>
      <c r="E220">
        <f>Datos!S23</f>
        <v>3</v>
      </c>
      <c r="F220">
        <f>Datos!T23</f>
        <v>0</v>
      </c>
      <c r="G220" s="42">
        <f>SUMPRODUCT(B220:F220,$B$1:$F$1)/SUM(B220:F220)</f>
        <v>2.8181818181818183</v>
      </c>
    </row>
    <row r="232" spans="1:7" x14ac:dyDescent="0.25">
      <c r="A232" t="str">
        <f>Datos!B24</f>
        <v>3.       La utilización de los recursos del equipo [tiempo y habilidades de sus integrantes] es efectiva.</v>
      </c>
      <c r="B232">
        <f>Datos!P24</f>
        <v>0</v>
      </c>
      <c r="C232">
        <f>Datos!Q24</f>
        <v>0</v>
      </c>
      <c r="D232">
        <f>Datos!R24</f>
        <v>3</v>
      </c>
      <c r="E232">
        <f>Datos!S24</f>
        <v>5</v>
      </c>
      <c r="F232">
        <f>Datos!T24</f>
        <v>3</v>
      </c>
      <c r="G232" s="42">
        <f>SUMPRODUCT(B232:F232,$B$1:$F$1)/SUM(B232:F232)</f>
        <v>4</v>
      </c>
    </row>
    <row r="244" spans="1:7" x14ac:dyDescent="0.25">
      <c r="A244" t="str">
        <f>Datos!B25</f>
        <v>4.       Está claro el producto de cada interacción o reunión, tanto del equipo como de los sub-equipos.</v>
      </c>
      <c r="B244">
        <f>Datos!P25</f>
        <v>1</v>
      </c>
      <c r="C244">
        <f>Datos!Q25</f>
        <v>0</v>
      </c>
      <c r="D244">
        <f>Datos!R25</f>
        <v>7</v>
      </c>
      <c r="E244">
        <f>Datos!S25</f>
        <v>3</v>
      </c>
      <c r="F244">
        <f>Datos!T25</f>
        <v>0</v>
      </c>
      <c r="G244" s="42">
        <f>SUMPRODUCT(B244:F244,$B$1:$F$1)/SUM(B244:F244)</f>
        <v>3.0909090909090908</v>
      </c>
    </row>
    <row r="256" spans="1:7" x14ac:dyDescent="0.25">
      <c r="A256" t="str">
        <f>Datos!B26</f>
        <v>5.       Se utilizan mecanismos de registro que facilitan el seguimiento de los compromisos.</v>
      </c>
      <c r="B256">
        <f>Datos!P26</f>
        <v>0</v>
      </c>
      <c r="C256">
        <f>Datos!Q26</f>
        <v>1</v>
      </c>
      <c r="D256">
        <f>Datos!R26</f>
        <v>6</v>
      </c>
      <c r="E256">
        <f>Datos!S26</f>
        <v>4</v>
      </c>
      <c r="F256">
        <f>Datos!T26</f>
        <v>0</v>
      </c>
      <c r="G256" s="42">
        <f>SUMPRODUCT(B256:F256,$B$1:$F$1)/SUM(B256:F256)</f>
        <v>3.2727272727272729</v>
      </c>
    </row>
    <row r="268" spans="1:7" x14ac:dyDescent="0.25">
      <c r="A268" t="str">
        <f>Datos!B27</f>
        <v>6.       La información circula con la fluidez necesaria para posibilitar la contribución efectiva de los miembros.</v>
      </c>
      <c r="B268">
        <f>Datos!P27</f>
        <v>0</v>
      </c>
      <c r="C268">
        <f>Datos!Q27</f>
        <v>0</v>
      </c>
      <c r="D268">
        <f>Datos!R27</f>
        <v>4</v>
      </c>
      <c r="E268">
        <f>Datos!S27</f>
        <v>5</v>
      </c>
      <c r="F268">
        <f>Datos!T27</f>
        <v>2</v>
      </c>
      <c r="G268" s="42">
        <f>SUMPRODUCT(B268:F268,$B$1:$F$1)/SUM(B268:F268)</f>
        <v>3.8181818181818183</v>
      </c>
    </row>
    <row r="280" spans="1:7" x14ac:dyDescent="0.25">
      <c r="A280" t="str">
        <f>Datos!B28</f>
        <v xml:space="preserve">7.       Existen procesos adecuados para la resolución de conflictos y toma de decisiones.  </v>
      </c>
      <c r="B280">
        <f>Datos!P28</f>
        <v>1</v>
      </c>
      <c r="C280">
        <f>Datos!Q28</f>
        <v>2</v>
      </c>
      <c r="D280">
        <f>Datos!R28</f>
        <v>4</v>
      </c>
      <c r="E280">
        <f>Datos!S28</f>
        <v>4</v>
      </c>
      <c r="F280">
        <f>Datos!T28</f>
        <v>0</v>
      </c>
      <c r="G280" s="42">
        <f>SUMPRODUCT(B280:F280,$B$1:$F$1)/SUM(B280:F280)</f>
        <v>3</v>
      </c>
    </row>
    <row r="292" spans="1:7" x14ac:dyDescent="0.25">
      <c r="A292" t="str">
        <f>Datos!B29</f>
        <v xml:space="preserve">8.        Los conflictos se resuelven en forma constructiva.  </v>
      </c>
      <c r="B292">
        <f>Datos!P29</f>
        <v>0</v>
      </c>
      <c r="C292">
        <f>Datos!Q29</f>
        <v>0</v>
      </c>
      <c r="D292">
        <f>Datos!R29</f>
        <v>3</v>
      </c>
      <c r="E292">
        <f>Datos!S29</f>
        <v>8</v>
      </c>
      <c r="F292">
        <f>Datos!T29</f>
        <v>0</v>
      </c>
      <c r="G292" s="42">
        <f>SUMPRODUCT(B292:F292,$B$1:$F$1)/SUM(B292:F292)</f>
        <v>3.7272727272727271</v>
      </c>
    </row>
    <row r="304" spans="1:7" x14ac:dyDescent="0.25">
      <c r="A304" t="str">
        <f>Datos!B30</f>
        <v xml:space="preserve">9.       Los procesos son simples, mínimos y flexibles. </v>
      </c>
      <c r="B304">
        <f>Datos!P30</f>
        <v>1</v>
      </c>
      <c r="C304">
        <f>Datos!Q30</f>
        <v>4</v>
      </c>
      <c r="D304">
        <f>Datos!R30</f>
        <v>3</v>
      </c>
      <c r="E304">
        <f>Datos!S30</f>
        <v>2</v>
      </c>
      <c r="F304">
        <f>Datos!T30</f>
        <v>1</v>
      </c>
      <c r="G304" s="42">
        <f>SUMPRODUCT(B304:F304,$B$1:$F$1)/SUM(B304:F304)</f>
        <v>2.8181818181818183</v>
      </c>
    </row>
    <row r="317" spans="1:7" ht="18.75" x14ac:dyDescent="0.3">
      <c r="A317" s="47" t="str">
        <f>Datos!B31</f>
        <v>RELACIONES</v>
      </c>
    </row>
    <row r="318" spans="1:7" x14ac:dyDescent="0.25">
      <c r="A318" t="str">
        <f>Datos!B32</f>
        <v>1.       Existe apertura en el equipo para escucharse, desafiarse y vivir con la tensión necesaria para generar cambios.</v>
      </c>
      <c r="B318">
        <f>Datos!P32</f>
        <v>0</v>
      </c>
      <c r="C318">
        <f>Datos!Q32</f>
        <v>0</v>
      </c>
      <c r="D318">
        <f>Datos!R32</f>
        <v>4</v>
      </c>
      <c r="E318">
        <f>Datos!S32</f>
        <v>7</v>
      </c>
      <c r="F318">
        <f>Datos!T32</f>
        <v>0</v>
      </c>
      <c r="G318" s="42">
        <f>SUMPRODUCT(B318:F318,$B$1:$F$1)/SUM(B318:F318)</f>
        <v>3.6363636363636362</v>
      </c>
    </row>
    <row r="330" spans="1:7" x14ac:dyDescent="0.25">
      <c r="A330" t="str">
        <f>Datos!B33</f>
        <v>2.       No hay temas indiscutibles en el equipo: todos los temas se traen a la mesa y discuten abiertamente.</v>
      </c>
      <c r="B330">
        <f>Datos!P33</f>
        <v>0</v>
      </c>
      <c r="C330">
        <f>Datos!Q33</f>
        <v>1</v>
      </c>
      <c r="D330">
        <f>Datos!R33</f>
        <v>5</v>
      </c>
      <c r="E330">
        <f>Datos!S33</f>
        <v>4</v>
      </c>
      <c r="F330">
        <f>Datos!T33</f>
        <v>1</v>
      </c>
      <c r="G330" s="42">
        <f>SUMPRODUCT(B330:F330,$B$1:$F$1)/SUM(B330:F330)</f>
        <v>3.4545454545454546</v>
      </c>
    </row>
    <row r="342" spans="1:7" x14ac:dyDescent="0.25">
      <c r="A342" t="str">
        <f>Datos!B34</f>
        <v>3.       Los miembros del equipo se dan y reciben retroalimentación sobre comportamientos en tiempo real.</v>
      </c>
      <c r="B342">
        <f>Datos!P34</f>
        <v>1</v>
      </c>
      <c r="C342">
        <f>Datos!Q34</f>
        <v>2</v>
      </c>
      <c r="D342">
        <f>Datos!R34</f>
        <v>6</v>
      </c>
      <c r="E342">
        <f>Datos!S34</f>
        <v>2</v>
      </c>
      <c r="F342">
        <f>Datos!T34</f>
        <v>0</v>
      </c>
      <c r="G342" s="42">
        <f>SUMPRODUCT(B342:F342,$B$1:$F$1)/SUM(B342:F342)</f>
        <v>2.8181818181818183</v>
      </c>
    </row>
    <row r="354" spans="1:7" x14ac:dyDescent="0.25">
      <c r="A354" t="str">
        <f>Datos!B35</f>
        <v>4.       Existe respeto incondicional entre los integrantes, y se utilizan las diferencias de opiniones y fortalezas a favor del equipo.</v>
      </c>
      <c r="B354">
        <f>Datos!P35</f>
        <v>0</v>
      </c>
      <c r="C354">
        <f>Datos!Q35</f>
        <v>1</v>
      </c>
      <c r="D354">
        <f>Datos!R35</f>
        <v>2</v>
      </c>
      <c r="E354">
        <f>Datos!S35</f>
        <v>8</v>
      </c>
      <c r="F354">
        <f>Datos!T35</f>
        <v>0</v>
      </c>
      <c r="G354" s="42">
        <f>SUMPRODUCT(B354:F354,$B$1:$F$1)/SUM(B354:F354)</f>
        <v>3.6363636363636362</v>
      </c>
    </row>
    <row r="366" spans="1:7" x14ac:dyDescent="0.25">
      <c r="A366" t="str">
        <f>Datos!B36</f>
        <v>5.       El equipo contribuye y alienta a cada integrante a sacar y dar lo mejor de sí.</v>
      </c>
      <c r="B366">
        <f>Datos!P36</f>
        <v>0</v>
      </c>
      <c r="C366">
        <f>Datos!Q36</f>
        <v>2</v>
      </c>
      <c r="D366">
        <f>Datos!R36</f>
        <v>4</v>
      </c>
      <c r="E366">
        <f>Datos!S36</f>
        <v>5</v>
      </c>
      <c r="F366">
        <f>Datos!T36</f>
        <v>0</v>
      </c>
      <c r="G366" s="42">
        <f>SUMPRODUCT(B366:F366,$B$1:$F$1)/SUM(B366:F366)</f>
        <v>3.2727272727272729</v>
      </c>
    </row>
    <row r="378" spans="1:7" x14ac:dyDescent="0.25">
      <c r="A378" t="str">
        <f>Datos!B37</f>
        <v>6.       Los miembros del equipo confían en la habilidad del otro, la colaboración, y el apoyo mutuo.</v>
      </c>
      <c r="B378">
        <f>Datos!P37</f>
        <v>0</v>
      </c>
      <c r="C378">
        <f>Datos!Q37</f>
        <v>1</v>
      </c>
      <c r="D378">
        <f>Datos!R37</f>
        <v>5</v>
      </c>
      <c r="E378">
        <f>Datos!S37</f>
        <v>5</v>
      </c>
      <c r="F378">
        <f>Datos!T37</f>
        <v>0</v>
      </c>
      <c r="G378" s="42">
        <f>SUMPRODUCT(B378:F378,$B$1:$F$1)/SUM(B378:F378)</f>
        <v>3.3636363636363638</v>
      </c>
    </row>
    <row r="390" spans="1:7" x14ac:dyDescent="0.25">
      <c r="A390" t="str">
        <f>Datos!B38</f>
        <v>7.       Las emociones, los modelos mentales, y los valores individuales se utilizan para el logro de los resultados del equipo.</v>
      </c>
      <c r="B390">
        <f>Datos!P38</f>
        <v>0</v>
      </c>
      <c r="C390">
        <f>Datos!Q38</f>
        <v>3</v>
      </c>
      <c r="D390">
        <f>Datos!R38</f>
        <v>5</v>
      </c>
      <c r="E390">
        <f>Datos!S38</f>
        <v>3</v>
      </c>
      <c r="F390">
        <f>Datos!T38</f>
        <v>0</v>
      </c>
      <c r="G390" s="42">
        <f>SUMPRODUCT(B390:F390,$B$1:$F$1)/SUM(B390:F390)</f>
        <v>3</v>
      </c>
    </row>
    <row r="402" spans="1:7" x14ac:dyDescent="0.25">
      <c r="A402" t="str">
        <f>Datos!B39</f>
        <v>8.       Son vistos por los demás como un grupo unido que resulta atractivo a personas que no pertenecen a él.</v>
      </c>
      <c r="B402">
        <f>Datos!P39</f>
        <v>1</v>
      </c>
      <c r="C402">
        <f>Datos!Q39</f>
        <v>3</v>
      </c>
      <c r="D402">
        <f>Datos!R39</f>
        <v>6</v>
      </c>
      <c r="E402">
        <f>Datos!S39</f>
        <v>1</v>
      </c>
      <c r="F402">
        <f>Datos!T39</f>
        <v>0</v>
      </c>
      <c r="G402" s="42">
        <f>SUMPRODUCT(B402:F402,$B$1:$F$1)/SUM(B402:F402)</f>
        <v>2.6363636363636362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CEBB-5B9B-4095-ADFD-69D60B465343}">
  <dimension ref="A1:B47"/>
  <sheetViews>
    <sheetView showGridLines="0" tabSelected="1" topLeftCell="A20" zoomScale="70" zoomScaleNormal="70" workbookViewId="0">
      <selection activeCell="F14" sqref="F14:T23"/>
    </sheetView>
  </sheetViews>
  <sheetFormatPr defaultRowHeight="51.75" customHeight="1" x14ac:dyDescent="0.25"/>
  <cols>
    <col min="1" max="1" width="80.42578125" customWidth="1"/>
    <col min="2" max="2" width="16.42578125" customWidth="1"/>
  </cols>
  <sheetData>
    <row r="1" spans="1:2" ht="51.75" customHeight="1" thickBot="1" x14ac:dyDescent="0.3"/>
    <row r="2" spans="1:2" ht="51.75" customHeight="1" thickBot="1" x14ac:dyDescent="0.3">
      <c r="A2" s="10" t="s">
        <v>20</v>
      </c>
      <c r="B2" s="11" t="s">
        <v>9</v>
      </c>
    </row>
    <row r="3" spans="1:2" ht="51.75" customHeight="1" x14ac:dyDescent="0.25">
      <c r="A3" s="8" t="s">
        <v>11</v>
      </c>
      <c r="B3" s="48">
        <f>'Resultados por pregunta'!G3</f>
        <v>3.2727272727272729</v>
      </c>
    </row>
    <row r="4" spans="1:2" ht="51.75" customHeight="1" x14ac:dyDescent="0.25">
      <c r="A4" s="9" t="s">
        <v>12</v>
      </c>
      <c r="B4" s="49">
        <f>'Resultados por pregunta'!G12</f>
        <v>3</v>
      </c>
    </row>
    <row r="5" spans="1:2" ht="51.75" customHeight="1" x14ac:dyDescent="0.25">
      <c r="A5" s="9" t="s">
        <v>13</v>
      </c>
      <c r="B5" s="49">
        <f>'Resultados por pregunta'!G24</f>
        <v>3.8181818181818183</v>
      </c>
    </row>
    <row r="6" spans="1:2" ht="51.75" customHeight="1" x14ac:dyDescent="0.25">
      <c r="A6" s="9" t="s">
        <v>14</v>
      </c>
      <c r="B6" s="49">
        <f>'Resultados por pregunta'!G36</f>
        <v>3.6363636363636362</v>
      </c>
    </row>
    <row r="7" spans="1:2" ht="51.75" customHeight="1" x14ac:dyDescent="0.25">
      <c r="A7" s="9" t="s">
        <v>15</v>
      </c>
      <c r="B7" s="49">
        <f>'Resultados por pregunta'!G48</f>
        <v>3.1818181818181817</v>
      </c>
    </row>
    <row r="8" spans="1:2" ht="51.75" customHeight="1" x14ac:dyDescent="0.25">
      <c r="A8" s="9" t="s">
        <v>16</v>
      </c>
      <c r="B8" s="49">
        <f>'Resultados por pregunta'!G60</f>
        <v>2.4545454545454546</v>
      </c>
    </row>
    <row r="9" spans="1:2" ht="51.75" customHeight="1" x14ac:dyDescent="0.25">
      <c r="A9" s="9" t="s">
        <v>17</v>
      </c>
      <c r="B9" s="49">
        <f>'Resultados por pregunta'!G72</f>
        <v>2.2727272727272729</v>
      </c>
    </row>
    <row r="10" spans="1:2" ht="51.75" customHeight="1" x14ac:dyDescent="0.25">
      <c r="A10" s="9" t="s">
        <v>18</v>
      </c>
      <c r="B10" s="49">
        <f>'Resultados por pregunta'!G84</f>
        <v>2.6363636363636362</v>
      </c>
    </row>
    <row r="11" spans="1:2" ht="51.75" customHeight="1" thickBot="1" x14ac:dyDescent="0.3">
      <c r="A11" s="7" t="s">
        <v>19</v>
      </c>
      <c r="B11" s="50">
        <f>'Resultados por pregunta'!G96</f>
        <v>3.8181818181818183</v>
      </c>
    </row>
    <row r="12" spans="1:2" ht="51.75" customHeight="1" x14ac:dyDescent="0.25">
      <c r="A12" s="16" t="s">
        <v>41</v>
      </c>
      <c r="B12" s="51">
        <f>AVERAGE(B3:B11)</f>
        <v>3.1212121212121215</v>
      </c>
    </row>
    <row r="13" spans="1:2" ht="51.75" customHeight="1" thickBot="1" x14ac:dyDescent="0.3"/>
    <row r="14" spans="1:2" ht="51.75" customHeight="1" thickBot="1" x14ac:dyDescent="0.3">
      <c r="A14" s="13" t="s">
        <v>21</v>
      </c>
      <c r="B14" s="12" t="s">
        <v>9</v>
      </c>
    </row>
    <row r="15" spans="1:2" ht="51.75" customHeight="1" thickBot="1" x14ac:dyDescent="0.3">
      <c r="A15" s="5" t="s">
        <v>22</v>
      </c>
      <c r="B15" s="48">
        <f>'Resultados por pregunta'!G110</f>
        <v>4.0909090909090908</v>
      </c>
    </row>
    <row r="16" spans="1:2" ht="51.75" customHeight="1" thickBot="1" x14ac:dyDescent="0.3">
      <c r="A16" s="6" t="s">
        <v>23</v>
      </c>
      <c r="B16" s="49">
        <f>'Resultados por pregunta'!G122</f>
        <v>3.7272727272727271</v>
      </c>
    </row>
    <row r="17" spans="1:2" ht="51.75" customHeight="1" thickBot="1" x14ac:dyDescent="0.3">
      <c r="A17" s="6" t="s">
        <v>24</v>
      </c>
      <c r="B17" s="49">
        <f>'Resultados por pregunta'!G134</f>
        <v>3.5454545454545454</v>
      </c>
    </row>
    <row r="18" spans="1:2" ht="51.75" customHeight="1" thickBot="1" x14ac:dyDescent="0.3">
      <c r="A18" s="6" t="s">
        <v>25</v>
      </c>
      <c r="B18" s="49">
        <f>'Resultados por pregunta'!G146</f>
        <v>3.1818181818181817</v>
      </c>
    </row>
    <row r="19" spans="1:2" ht="51.75" customHeight="1" thickBot="1" x14ac:dyDescent="0.3">
      <c r="A19" s="6" t="s">
        <v>26</v>
      </c>
      <c r="B19" s="49">
        <f>'Resultados por pregunta'!G158</f>
        <v>3.5454545454545454</v>
      </c>
    </row>
    <row r="20" spans="1:2" ht="51.75" customHeight="1" thickBot="1" x14ac:dyDescent="0.3">
      <c r="A20" s="6" t="s">
        <v>27</v>
      </c>
      <c r="B20" s="49">
        <f>'Resultados por pregunta'!G170</f>
        <v>3.8181818181818183</v>
      </c>
    </row>
    <row r="21" spans="1:2" ht="51.75" customHeight="1" thickBot="1" x14ac:dyDescent="0.3">
      <c r="A21" s="6" t="s">
        <v>28</v>
      </c>
      <c r="B21" s="49">
        <f>'Resultados por pregunta'!G182</f>
        <v>3.4545454545454546</v>
      </c>
    </row>
    <row r="22" spans="1:2" ht="51.75" customHeight="1" thickBot="1" x14ac:dyDescent="0.3">
      <c r="A22" s="6" t="s">
        <v>29</v>
      </c>
      <c r="B22" s="49">
        <f>'Resultados por pregunta'!G194</f>
        <v>3.8181818181818183</v>
      </c>
    </row>
    <row r="23" spans="1:2" ht="51.75" customHeight="1" x14ac:dyDescent="0.25">
      <c r="A23" s="16" t="s">
        <v>40</v>
      </c>
      <c r="B23" s="51">
        <f>AVERAGE(B15:B22)</f>
        <v>3.6477272727272725</v>
      </c>
    </row>
    <row r="24" spans="1:2" ht="51.75" customHeight="1" x14ac:dyDescent="0.25">
      <c r="A24" s="16"/>
      <c r="B24" s="17"/>
    </row>
    <row r="25" spans="1:2" ht="51.75" customHeight="1" thickBot="1" x14ac:dyDescent="0.3">
      <c r="A25" s="16"/>
      <c r="B25" s="17"/>
    </row>
    <row r="26" spans="1:2" ht="51.75" customHeight="1" thickBot="1" x14ac:dyDescent="0.3">
      <c r="A26" s="19" t="s">
        <v>30</v>
      </c>
      <c r="B26" s="18" t="s">
        <v>9</v>
      </c>
    </row>
    <row r="27" spans="1:2" ht="51.75" customHeight="1" x14ac:dyDescent="0.25">
      <c r="A27" s="20" t="s">
        <v>31</v>
      </c>
      <c r="B27" s="52">
        <f>'Resultados por pregunta'!G208</f>
        <v>3.5454545454545454</v>
      </c>
    </row>
    <row r="28" spans="1:2" ht="51.75" customHeight="1" x14ac:dyDescent="0.25">
      <c r="A28" s="21" t="s">
        <v>32</v>
      </c>
      <c r="B28" s="53">
        <f>'Resultados por pregunta'!G220</f>
        <v>2.8181818181818183</v>
      </c>
    </row>
    <row r="29" spans="1:2" ht="51.75" customHeight="1" x14ac:dyDescent="0.25">
      <c r="A29" s="21" t="s">
        <v>33</v>
      </c>
      <c r="B29" s="53">
        <f>'Resultados por pregunta'!G232</f>
        <v>4</v>
      </c>
    </row>
    <row r="30" spans="1:2" ht="51.75" customHeight="1" x14ac:dyDescent="0.25">
      <c r="A30" s="21" t="s">
        <v>34</v>
      </c>
      <c r="B30" s="53">
        <f>'Resultados por pregunta'!G244</f>
        <v>3.0909090909090908</v>
      </c>
    </row>
    <row r="31" spans="1:2" ht="51.75" customHeight="1" x14ac:dyDescent="0.25">
      <c r="A31" s="21" t="s">
        <v>35</v>
      </c>
      <c r="B31" s="53">
        <f>'Resultados por pregunta'!G256</f>
        <v>3.2727272727272729</v>
      </c>
    </row>
    <row r="32" spans="1:2" ht="51.75" customHeight="1" x14ac:dyDescent="0.25">
      <c r="A32" s="21" t="s">
        <v>36</v>
      </c>
      <c r="B32" s="53">
        <f>'Resultados por pregunta'!G268</f>
        <v>3.8181818181818183</v>
      </c>
    </row>
    <row r="33" spans="1:2" ht="51.75" customHeight="1" x14ac:dyDescent="0.25">
      <c r="A33" s="21" t="s">
        <v>37</v>
      </c>
      <c r="B33" s="53">
        <f>'Resultados por pregunta'!G280</f>
        <v>3</v>
      </c>
    </row>
    <row r="34" spans="1:2" ht="51.75" customHeight="1" x14ac:dyDescent="0.25">
      <c r="A34" s="21" t="s">
        <v>38</v>
      </c>
      <c r="B34" s="53">
        <f>'Resultados por pregunta'!G292</f>
        <v>3.7272727272727271</v>
      </c>
    </row>
    <row r="35" spans="1:2" ht="51.75" customHeight="1" thickBot="1" x14ac:dyDescent="0.3">
      <c r="A35" s="6" t="s">
        <v>39</v>
      </c>
      <c r="B35" s="54">
        <f>'Resultados por pregunta'!G304</f>
        <v>2.8181818181818183</v>
      </c>
    </row>
    <row r="36" spans="1:2" ht="51.75" customHeight="1" x14ac:dyDescent="0.25">
      <c r="A36" s="16" t="s">
        <v>41</v>
      </c>
      <c r="B36" s="55">
        <f>AVERAGE(B27:B35)</f>
        <v>3.3434343434343439</v>
      </c>
    </row>
    <row r="37" spans="1:2" ht="51.75" customHeight="1" thickBot="1" x14ac:dyDescent="0.3">
      <c r="A37" s="16"/>
      <c r="B37" s="22"/>
    </row>
    <row r="38" spans="1:2" ht="51.75" customHeight="1" thickBot="1" x14ac:dyDescent="0.3">
      <c r="A38" s="14" t="s">
        <v>10</v>
      </c>
      <c r="B38" s="15" t="s">
        <v>9</v>
      </c>
    </row>
    <row r="39" spans="1:2" ht="51.75" customHeight="1" thickBot="1" x14ac:dyDescent="0.3">
      <c r="A39" s="3" t="s">
        <v>1</v>
      </c>
      <c r="B39" s="49">
        <f>'Resultados por pregunta'!G318</f>
        <v>3.6363636363636362</v>
      </c>
    </row>
    <row r="40" spans="1:2" ht="51.75" customHeight="1" thickBot="1" x14ac:dyDescent="0.3">
      <c r="A40" s="4" t="s">
        <v>2</v>
      </c>
      <c r="B40" s="49">
        <f>'Resultados por pregunta'!G330</f>
        <v>3.4545454545454546</v>
      </c>
    </row>
    <row r="41" spans="1:2" ht="51.75" customHeight="1" thickBot="1" x14ac:dyDescent="0.3">
      <c r="A41" s="4" t="s">
        <v>3</v>
      </c>
      <c r="B41" s="49">
        <f>'Resultados por pregunta'!G342</f>
        <v>2.8181818181818183</v>
      </c>
    </row>
    <row r="42" spans="1:2" ht="51.75" customHeight="1" thickBot="1" x14ac:dyDescent="0.3">
      <c r="A42" s="4" t="s">
        <v>4</v>
      </c>
      <c r="B42" s="49">
        <f>'Resultados por pregunta'!G354</f>
        <v>3.6363636363636362</v>
      </c>
    </row>
    <row r="43" spans="1:2" ht="51.75" customHeight="1" thickBot="1" x14ac:dyDescent="0.3">
      <c r="A43" s="4" t="s">
        <v>5</v>
      </c>
      <c r="B43" s="49">
        <f>'Resultados por pregunta'!G366</f>
        <v>3.2727272727272729</v>
      </c>
    </row>
    <row r="44" spans="1:2" ht="51.75" customHeight="1" thickBot="1" x14ac:dyDescent="0.3">
      <c r="A44" s="4" t="s">
        <v>6</v>
      </c>
      <c r="B44" s="49">
        <f>'Resultados por pregunta'!G378</f>
        <v>3.3636363636363638</v>
      </c>
    </row>
    <row r="45" spans="1:2" ht="51.75" customHeight="1" thickBot="1" x14ac:dyDescent="0.3">
      <c r="A45" s="4" t="s">
        <v>7</v>
      </c>
      <c r="B45" s="49">
        <f>'Resultados por pregunta'!G390</f>
        <v>3</v>
      </c>
    </row>
    <row r="46" spans="1:2" ht="51.75" customHeight="1" thickBot="1" x14ac:dyDescent="0.3">
      <c r="A46" s="4" t="s">
        <v>8</v>
      </c>
      <c r="B46" s="56">
        <f>'Resultados por pregunta'!G402</f>
        <v>2.6363636363636362</v>
      </c>
    </row>
    <row r="47" spans="1:2" ht="51.75" customHeight="1" x14ac:dyDescent="0.25">
      <c r="A47" s="23" t="s">
        <v>42</v>
      </c>
      <c r="B47" s="57">
        <f>AVERAGE(B39:B46)</f>
        <v>3.2272727272727275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Resultados por pregunta</vt:lpstr>
      <vt:lpstr>Resultados por cuadrante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horacio.rieznik</dc:creator>
  <cp:lastModifiedBy>horacio.rieznik</cp:lastModifiedBy>
  <dcterms:created xsi:type="dcterms:W3CDTF">2018-01-03T18:35:01Z</dcterms:created>
  <dcterms:modified xsi:type="dcterms:W3CDTF">2018-04-09T22:02:13Z</dcterms:modified>
</cp:coreProperties>
</file>